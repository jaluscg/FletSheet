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Historial de contabilizaciones" sheetId="1" state="visible" r:id="rId1"/>
    <sheet name="productos" sheetId="2" state="visible" r:id="rId2"/>
    <sheet name="entradas y salid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0" fontId="2" fillId="0" borderId="0" pivotButton="0" quotePrefix="0" xfId="1"/>
    <xf numFmtId="164" fontId="0" fillId="0" borderId="0" pivotButton="0" quotePrefix="0" xfId="0"/>
    <xf numFmtId="165" fontId="0" fillId="0" borderId="0" pivotButton="0" quotePrefix="0" xfId="1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tabSelected="1" topLeftCell="A4" workbookViewId="0">
      <selection activeCell="A19" sqref="A19"/>
    </sheetView>
  </sheetViews>
  <sheetFormatPr baseColWidth="10" defaultColWidth="9.140625" defaultRowHeight="15"/>
  <cols>
    <col width="9.42578125" bestFit="1" customWidth="1" style="4" min="1" max="1"/>
    <col width="10.85546875" customWidth="1" min="3" max="3"/>
    <col width="27.85546875" bestFit="1" customWidth="1" min="4" max="4"/>
    <col width="11.5703125" bestFit="1" customWidth="1" style="5" min="5" max="5"/>
    <col width="10.5703125" bestFit="1" customWidth="1" style="5" min="6" max="6"/>
    <col width="11.5703125" bestFit="1" customWidth="1" style="5" min="7" max="7"/>
    <col width="9.140625" customWidth="1" min="8" max="9"/>
  </cols>
  <sheetData>
    <row r="1">
      <c r="A1" s="4" t="inlineStr">
        <is>
          <t>Fecha</t>
        </is>
      </c>
      <c r="B1" t="inlineStr">
        <is>
          <t>DÍA</t>
        </is>
      </c>
      <c r="C1" t="inlineStr">
        <is>
          <t>MES/AÑO</t>
        </is>
      </c>
      <c r="D1" t="inlineStr">
        <is>
          <t>Descripcion</t>
        </is>
      </c>
      <c r="E1" s="5" t="inlineStr">
        <is>
          <t>Entrada</t>
        </is>
      </c>
      <c r="F1" s="5" t="inlineStr">
        <is>
          <t>Salida</t>
        </is>
      </c>
      <c r="G1" s="5" t="inlineStr">
        <is>
          <t>Total</t>
        </is>
      </c>
      <c r="H1" t="inlineStr">
        <is>
          <t>ID_Registro</t>
        </is>
      </c>
      <c r="I1" t="inlineStr">
        <is>
          <t>DATAFONO</t>
        </is>
      </c>
      <c r="J1" t="inlineStr">
        <is>
          <t>Efectivo a nequi</t>
        </is>
      </c>
      <c r="K1" t="inlineStr">
        <is>
          <t>Pasa nequi a efectivo</t>
        </is>
      </c>
      <c r="L1" t="inlineStr">
        <is>
          <t>NEQUI</t>
        </is>
      </c>
      <c r="M1" t="inlineStr">
        <is>
          <t>Efectivo  a daviplata</t>
        </is>
      </c>
      <c r="N1" t="inlineStr">
        <is>
          <t>pasa daviplata a efectivo</t>
        </is>
      </c>
      <c r="O1" t="inlineStr">
        <is>
          <t>DAVIPLATA</t>
        </is>
      </c>
      <c r="P1" t="inlineStr">
        <is>
          <t>Costo</t>
        </is>
      </c>
      <c r="Q1" t="inlineStr">
        <is>
          <t>INVENTARIO</t>
        </is>
      </c>
      <c r="R1" t="inlineStr">
        <is>
          <t>Cantidad  dada</t>
        </is>
      </c>
      <c r="S1" t="inlineStr">
        <is>
          <t>CRÉDITO</t>
        </is>
      </c>
      <c r="T1" t="inlineStr">
        <is>
          <t>PagoCxp</t>
        </is>
      </c>
      <c r="U1" t="inlineStr">
        <is>
          <t>CxP</t>
        </is>
      </c>
      <c r="V1" t="inlineStr">
        <is>
          <t>Distribucion utilidades</t>
        </is>
      </c>
      <c r="W1" t="inlineStr">
        <is>
          <t>Ajuste a efectivo</t>
        </is>
      </c>
      <c r="X1" t="inlineStr">
        <is>
          <t>ajuste a datafono</t>
        </is>
      </c>
      <c r="Y1" t="inlineStr">
        <is>
          <t>ajuste a nequi</t>
        </is>
      </c>
      <c r="Z1" t="inlineStr">
        <is>
          <t>Ajuste a daviplata</t>
        </is>
      </c>
      <c r="AA1" t="inlineStr">
        <is>
          <t>ajuste a credito</t>
        </is>
      </c>
      <c r="AB1" t="inlineStr">
        <is>
          <t>caja mayor</t>
        </is>
      </c>
    </row>
    <row r="2">
      <c r="A2" s="4" t="n">
        <v>45220</v>
      </c>
      <c r="B2">
        <f>TEXT(A2,"dddd")</f>
        <v/>
      </c>
      <c r="C2" s="4">
        <f>TEXT(A2,"mmmm")&amp;TEXT(A2,"yy")</f>
        <v/>
      </c>
      <c r="D2" t="inlineStr">
        <is>
          <t>abono for explorer</t>
        </is>
      </c>
      <c r="E2" s="5" t="n">
        <v>600000</v>
      </c>
      <c r="G2" s="5">
        <f>SUM(E2:F2)</f>
        <v/>
      </c>
    </row>
    <row r="3">
      <c r="A3" s="4" t="n">
        <v>45220</v>
      </c>
      <c r="B3">
        <f>TEXT(A3,"dddd")</f>
        <v/>
      </c>
      <c r="C3" s="4">
        <f>TEXT(A3,"mmmm")&amp;TEXT(A3,"yy")</f>
        <v/>
      </c>
      <c r="D3" t="inlineStr">
        <is>
          <t>189 fiat cielo</t>
        </is>
      </c>
      <c r="E3" s="5" t="n">
        <v>189000</v>
      </c>
      <c r="G3" s="5">
        <f>SUM(E3:F3)</f>
        <v/>
      </c>
    </row>
    <row r="4">
      <c r="A4" s="4" t="n">
        <v>45220</v>
      </c>
      <c r="B4">
        <f>TEXT(A4,"dddd")</f>
        <v/>
      </c>
      <c r="C4" s="4">
        <f>TEXT(A4,"mmmm")&amp;TEXT(A4,"yy")</f>
        <v/>
      </c>
      <c r="D4" t="inlineStr">
        <is>
          <t>ford explorer completa abono</t>
        </is>
      </c>
      <c r="E4" s="5" t="n">
        <v>300000</v>
      </c>
      <c r="F4">
        <f>23*432</f>
        <v/>
      </c>
      <c r="G4" s="5">
        <f>SUM(E4:F4)</f>
        <v/>
      </c>
    </row>
    <row r="5">
      <c r="A5" s="4" t="n">
        <v>45220</v>
      </c>
      <c r="B5">
        <f>TEXT(A5,"dddd")</f>
        <v/>
      </c>
      <c r="C5" s="4">
        <f>TEXT(A5,"mmmm")&amp;TEXT(A5,"yy")</f>
        <v/>
      </c>
      <c r="D5" t="inlineStr">
        <is>
          <t>fusibles</t>
        </is>
      </c>
      <c r="E5" s="5" t="n">
        <v>2000</v>
      </c>
      <c r="G5" s="5">
        <f>SUM(E5:F5)</f>
        <v/>
      </c>
      <c r="I5">
        <f>SUM(E2:F9)</f>
        <v/>
      </c>
    </row>
    <row r="6">
      <c r="A6" s="4" t="n">
        <v>45223</v>
      </c>
      <c r="B6">
        <f>TEXT(A6,"dddd")</f>
        <v/>
      </c>
      <c r="C6" s="4">
        <f>TEXT(A6,"mmmm")&amp;TEXT(A6,"yy")</f>
        <v/>
      </c>
      <c r="D6" t="inlineStr">
        <is>
          <t>gastos representacion</t>
        </is>
      </c>
      <c r="E6">
        <f>E5+E2</f>
        <v/>
      </c>
      <c r="F6" s="5" t="n">
        <v>-1000</v>
      </c>
      <c r="G6" s="5">
        <f>SUM(E6:F6)</f>
        <v/>
      </c>
    </row>
    <row r="7">
      <c r="A7" s="4" t="n">
        <v>45223</v>
      </c>
      <c r="B7">
        <f>TEXT(A7,"dddd")</f>
        <v/>
      </c>
      <c r="C7" s="4">
        <f>TEXT(A7,"mmmm")&amp;TEXT(A7,"yy")</f>
        <v/>
      </c>
      <c r="D7" t="inlineStr">
        <is>
          <t>compra thiner</t>
        </is>
      </c>
      <c r="F7" s="5" t="n">
        <v>-13600</v>
      </c>
      <c r="G7" s="5">
        <f>SUM(E7:F7)</f>
        <v/>
      </c>
    </row>
    <row r="8">
      <c r="A8" s="4" t="n">
        <v>45223</v>
      </c>
      <c r="B8">
        <f>TEXT(A8,"dddd")</f>
        <v/>
      </c>
      <c r="C8" s="4">
        <f>TEXT(A8,"mmmm")&amp;TEXT(A8,"yy")</f>
        <v/>
      </c>
      <c r="D8" t="inlineStr">
        <is>
          <t>gastos representaicon</t>
        </is>
      </c>
      <c r="F8" s="5" t="n">
        <v>-1900</v>
      </c>
      <c r="G8" s="5">
        <f>SUM(E8:F8)</f>
        <v/>
      </c>
    </row>
    <row r="9">
      <c r="A9" s="4" t="n">
        <v>45332</v>
      </c>
      <c r="B9">
        <f>TEXT(A9,"dddd")</f>
        <v/>
      </c>
      <c r="C9" s="4">
        <f>TEXT(A9,"mmmm")&amp;TEXT(A9,"yy")</f>
        <v/>
      </c>
      <c r="D9" t="inlineStr">
        <is>
          <t>nomina joseph</t>
        </is>
      </c>
      <c r="F9" s="5" t="n">
        <v>-184000</v>
      </c>
      <c r="G9" s="5">
        <f>SUM(E9:F9)</f>
        <v/>
      </c>
    </row>
    <row r="10">
      <c r="A10" s="4" t="n">
        <v>45332</v>
      </c>
      <c r="B10">
        <f>TEXT(A10,"dddd")</f>
        <v/>
      </c>
      <c r="C10" s="4">
        <f>TEXT(A10,"mmmm")&amp;TEXT(A10,"yy")</f>
        <v/>
      </c>
      <c r="D10" t="inlineStr">
        <is>
          <t>davipata pagaron 390 ahorita a juan, no se sabe de qué</t>
        </is>
      </c>
      <c r="E10" s="5" t="n">
        <v>390000</v>
      </c>
      <c r="G10" s="5">
        <f>SUM(E10:F10)</f>
        <v/>
      </c>
      <c r="O10" t="n">
        <v>1</v>
      </c>
    </row>
    <row r="11">
      <c r="A11" s="4" t="n">
        <v>45332</v>
      </c>
      <c r="B11">
        <f>TEXT(A11,"dddd")</f>
        <v/>
      </c>
      <c r="C11" s="4">
        <f>TEXT(A11,"mmmm")&amp;TEXT(A11,"yy")</f>
        <v/>
      </c>
      <c r="D11" t="inlineStr">
        <is>
          <t>william hay que darle 30 de gasolina de blazer que se usó</t>
        </is>
      </c>
      <c r="G11" s="5">
        <f>SUM(E11:F11)</f>
        <v/>
      </c>
    </row>
    <row r="12">
      <c r="A12" s="4" t="n">
        <v>45332</v>
      </c>
      <c r="B12">
        <f>TEXT(A12,"dddd")</f>
        <v/>
      </c>
      <c r="C12" s="4">
        <f>TEXT(A12,"mmmm")&amp;TEXT(A12,"yy")</f>
        <v/>
      </c>
      <c r="D12" t="inlineStr">
        <is>
          <t>cambio efectivo nequi joseph mil. 1</t>
        </is>
      </c>
      <c r="G12" s="5">
        <f>SUM(E12:F12)</f>
        <v/>
      </c>
      <c r="J12" t="n">
        <v>1000</v>
      </c>
    </row>
    <row r="13">
      <c r="A13" s="4" t="n">
        <v>45334</v>
      </c>
      <c r="B13">
        <f>TEXT(A13,"dddd")</f>
        <v/>
      </c>
      <c r="C13" s="4">
        <f>TEXT(A13,"mmmm")&amp;TEXT(A13,"yy")</f>
        <v/>
      </c>
      <c r="D13" t="inlineStr">
        <is>
          <t>edison repuestos manigueta moto que se rompio</t>
        </is>
      </c>
      <c r="F13" s="5" t="n">
        <v>-20000</v>
      </c>
      <c r="G13" s="5">
        <f>SUM(E13:F13)</f>
        <v/>
      </c>
    </row>
    <row r="14">
      <c r="A14" s="4" t="n">
        <v>45334</v>
      </c>
      <c r="B14">
        <f>TEXT(A14,"dddd")</f>
        <v/>
      </c>
      <c r="C14" s="4">
        <f>TEXT(A14,"mmmm")&amp;TEXT(A14,"yy")</f>
        <v/>
      </c>
      <c r="D14" t="inlineStr">
        <is>
          <t>gasolina twingo sebas</t>
        </is>
      </c>
      <c r="F14" s="5" t="n">
        <v>-10000</v>
      </c>
      <c r="G14" s="5">
        <f>SUM(E14:F14)</f>
        <v/>
      </c>
    </row>
    <row r="15">
      <c r="A15" s="4" t="n">
        <v>45334</v>
      </c>
      <c r="B15">
        <f>TEXT(A15,"dddd")</f>
        <v/>
      </c>
      <c r="C15" s="4">
        <f>TEXT(A15,"mmmm")&amp;TEXT(A15,"yy")</f>
        <v/>
      </c>
      <c r="D15" t="inlineStr">
        <is>
          <t>empaque exosto aveo</t>
        </is>
      </c>
      <c r="E15" s="5" t="n">
        <v>10000</v>
      </c>
      <c r="G15" s="5">
        <f>SUM(E15:F15)</f>
        <v/>
      </c>
    </row>
    <row r="16">
      <c r="A16" s="4" t="n">
        <v>45334</v>
      </c>
      <c r="B16">
        <f>TEXT(A16,"dddd")</f>
        <v/>
      </c>
      <c r="C16" s="4">
        <f>TEXT(A16,"mmmm")&amp;TEXT(A16,"yy")</f>
        <v/>
      </c>
      <c r="D16" t="inlineStr">
        <is>
          <t>cambio nequi efectivo brayan</t>
        </is>
      </c>
      <c r="G16" s="5">
        <f>SUM(E16:F16)</f>
        <v/>
      </c>
      <c r="K16" t="n">
        <v>50000</v>
      </c>
    </row>
    <row r="17">
      <c r="A17" s="4" t="n">
        <v>45353</v>
      </c>
      <c r="B17">
        <f>TEXT(A17,"dddd")</f>
        <v/>
      </c>
      <c r="C17" s="4">
        <f>TEXT(A17,"mmmm")&amp;TEXT(A17,"yy")</f>
        <v/>
      </c>
      <c r="D17" t="inlineStr">
        <is>
          <t xml:space="preserve">taxi spark por tarjeta </t>
        </is>
      </c>
      <c r="E17" s="5" t="n">
        <v>414000</v>
      </c>
      <c r="G17" s="5">
        <f>SUM(E17:F17)</f>
        <v/>
      </c>
      <c r="I17" t="n">
        <v>1</v>
      </c>
    </row>
    <row r="18">
      <c r="A18" s="4" t="n">
        <v>45353</v>
      </c>
      <c r="B18">
        <f>TEXT(A18,"dddd")</f>
        <v/>
      </c>
      <c r="C18" s="4">
        <f>TEXT(A18,"mmmm")&amp;TEXT(A18,"yy")</f>
        <v/>
      </c>
      <c r="D18" t="inlineStr">
        <is>
          <t>wagon tarjeta</t>
        </is>
      </c>
      <c r="E18" s="5" t="n">
        <v>230000</v>
      </c>
      <c r="G18" s="5">
        <f>SUM(E18:F18)</f>
        <v/>
      </c>
      <c r="I18" t="n">
        <v>1</v>
      </c>
    </row>
    <row r="19">
      <c r="A19" s="4" t="n">
        <v>45353</v>
      </c>
      <c r="B19">
        <f>TEXT(A19,"dddd")</f>
        <v/>
      </c>
      <c r="C19" s="4">
        <f>TEXT(A19,"mmmm")&amp;TEXT(A19,"yy")</f>
        <v/>
      </c>
      <c r="D19" t="inlineStr">
        <is>
          <t>taxis por nequi</t>
        </is>
      </c>
      <c r="E19" s="5" t="n">
        <v>1050000</v>
      </c>
      <c r="G19" s="5">
        <f>SUM(E19:F19)</f>
        <v/>
      </c>
      <c r="L19" t="n">
        <v>1</v>
      </c>
    </row>
    <row r="20">
      <c r="A20" s="4" t="n">
        <v>45353</v>
      </c>
      <c r="B20">
        <f>TEXT(A20,"dddd")</f>
        <v/>
      </c>
      <c r="C20" s="4">
        <f>TEXT(A20,"mmmm")&amp;TEXT(A20,"yy")</f>
        <v/>
      </c>
      <c r="D20" t="inlineStr">
        <is>
          <t>nomina</t>
        </is>
      </c>
      <c r="F20" s="5" t="n">
        <v>-550000</v>
      </c>
      <c r="G20" s="5">
        <f>SUM(E20:F20)</f>
        <v/>
      </c>
    </row>
    <row r="21">
      <c r="A21" s="4" t="n">
        <v>45355</v>
      </c>
      <c r="B21">
        <f>TEXT(A21,"dddd")</f>
        <v/>
      </c>
      <c r="C21" s="4">
        <f>TEXT(A21,"mmmm")&amp;TEXT(A21,"yy")</f>
        <v/>
      </c>
      <c r="D21" t="inlineStr">
        <is>
          <t>cambio nequi efectivo  16</t>
        </is>
      </c>
      <c r="G21" s="5">
        <f>SUM(E21:F21)</f>
        <v/>
      </c>
      <c r="K21" t="n">
        <v>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10" defaultRowHeight="15"/>
  <cols>
    <col width="52.28515625" customWidth="1" min="2" max="2"/>
    <col width="14.5703125" bestFit="1" customWidth="1" min="8" max="8"/>
    <col width="18.5703125" bestFit="1" customWidth="1" min="9" max="9"/>
    <col width="17.42578125" bestFit="1" customWidth="1" min="10" max="10"/>
    <col width="16.85546875" bestFit="1" customWidth="1" min="11" max="11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MARCA</t>
        </is>
      </c>
      <c r="D1" t="inlineStr">
        <is>
          <t>PRECIO</t>
        </is>
      </c>
      <c r="E1" t="inlineStr">
        <is>
          <t>COSTO</t>
        </is>
      </c>
      <c r="F1" t="inlineStr">
        <is>
          <t>Categoria</t>
        </is>
      </c>
      <c r="G1" t="inlineStr">
        <is>
          <t>ALMACÉN</t>
        </is>
      </c>
      <c r="H1" t="inlineStr">
        <is>
          <t>STOCK MÍNIMO</t>
        </is>
      </c>
      <c r="I1" t="inlineStr">
        <is>
          <t>EXISTENCIA ACTUAL</t>
        </is>
      </c>
      <c r="J1" t="inlineStr">
        <is>
          <t>CODIGO UNITARIO</t>
        </is>
      </c>
      <c r="K1" t="inlineStr">
        <is>
          <t>cantidad conjunta</t>
        </is>
      </c>
    </row>
    <row r="2">
      <c r="A2" t="inlineStr">
        <is>
          <t>ABRABARR9</t>
        </is>
      </c>
      <c r="B2" t="inlineStr">
        <is>
          <t>abrazadera barra estabilizadora r9</t>
        </is>
      </c>
      <c r="C2" t="inlineStr">
        <is>
          <t>BOLSA SUELTO</t>
        </is>
      </c>
      <c r="D2" t="n">
        <v>12000</v>
      </c>
      <c r="E2" t="n">
        <v>3161.592</v>
      </c>
      <c r="F2" t="inlineStr">
        <is>
          <t>abrazadera barra estabilizadora</t>
        </is>
      </c>
      <c r="G2" t="inlineStr">
        <is>
          <t>5B</t>
        </is>
      </c>
      <c r="I2">
        <f>SUMIFS('entradas y salidas'!I:I,'entradas y salidas'!B:B,productos!A2)</f>
        <v/>
      </c>
      <c r="J2" t="inlineStr">
        <is>
          <t>ABRABARR9</t>
        </is>
      </c>
      <c r="K2">
        <f>SUMIFS(I:I,J:J,J2)</f>
        <v/>
      </c>
    </row>
    <row r="3">
      <c r="A3" t="inlineStr">
        <is>
          <t>3/4abraza</t>
        </is>
      </c>
      <c r="B3" t="inlineStr">
        <is>
          <t>abrazadera metalica 3/4 pulgadas pequeña</t>
        </is>
      </c>
      <c r="C3" t="inlineStr">
        <is>
          <t>BOLSA TRANSPARENTE</t>
        </is>
      </c>
      <c r="D3" t="n">
        <v>1000</v>
      </c>
      <c r="E3" t="n">
        <v>0.016</v>
      </c>
      <c r="F3" t="inlineStr">
        <is>
          <t>abrazadera metalica</t>
        </is>
      </c>
      <c r="G3" t="inlineStr">
        <is>
          <t>9C-10</t>
        </is>
      </c>
      <c r="I3">
        <f>SUMIFS('entradas y salidas'!I:I,'entradas y salidas'!B:B,productos!A3)</f>
        <v/>
      </c>
      <c r="J3" t="inlineStr">
        <is>
          <t>3/4abraza</t>
        </is>
      </c>
      <c r="K3">
        <f>SUMIFS(I:I,J:J,J3)</f>
        <v/>
      </c>
    </row>
    <row r="4">
      <c r="A4" t="inlineStr">
        <is>
          <t>abrametcom</t>
        </is>
      </c>
      <c r="B4" t="inlineStr">
        <is>
          <t>abrazadera metalica comun que mas hay</t>
        </is>
      </c>
      <c r="C4" t="inlineStr">
        <is>
          <t>suelta</t>
        </is>
      </c>
      <c r="D4" t="n">
        <v>1800</v>
      </c>
      <c r="F4" t="inlineStr">
        <is>
          <t>abrazadera metalica</t>
        </is>
      </c>
      <c r="G4" t="inlineStr">
        <is>
          <t>9c-8</t>
        </is>
      </c>
      <c r="I4">
        <f>SUMIFS('entradas y salidas'!I:I,'entradas y salidas'!B:B,productos!A4)</f>
        <v/>
      </c>
      <c r="J4" t="inlineStr">
        <is>
          <t>abrametcom</t>
        </is>
      </c>
      <c r="K4">
        <f>SUMIFS(I:I,J:J,J4)</f>
        <v/>
      </c>
    </row>
    <row r="5">
      <c r="A5" t="inlineStr">
        <is>
          <t>abra1004</t>
        </is>
      </c>
      <c r="B5" t="inlineStr">
        <is>
          <t>abrazaderametalica titan para manguera 3/8 pulgadas.   min 5/16''  max  5/8''</t>
        </is>
      </c>
      <c r="C5" t="inlineStr">
        <is>
          <t>titan bolsa</t>
        </is>
      </c>
      <c r="D5" t="n">
        <v>1000</v>
      </c>
      <c r="E5" t="n">
        <v>560</v>
      </c>
      <c r="F5" t="inlineStr">
        <is>
          <t>abrazadera metalica</t>
        </is>
      </c>
      <c r="G5" t="inlineStr">
        <is>
          <t>9c-8</t>
        </is>
      </c>
      <c r="I5">
        <f>SUMIFS('entradas y salidas'!I:I,'entradas y salidas'!B:B,productos!A5)</f>
        <v/>
      </c>
      <c r="J5" t="inlineStr">
        <is>
          <t>abra1004</t>
        </is>
      </c>
      <c r="K5">
        <f>SUMIFS(I:I,J:J,J5)</f>
        <v/>
      </c>
    </row>
    <row r="6">
      <c r="A6" t="inlineStr">
        <is>
          <t>abra1006</t>
        </is>
      </c>
      <c r="B6" t="inlineStr">
        <is>
          <t>abrazdadera metalica titan para manguera 1/2 pulgada min 7/16'' max 25/32''</t>
        </is>
      </c>
      <c r="C6" t="inlineStr">
        <is>
          <t>titan bolsa</t>
        </is>
      </c>
      <c r="D6" t="n">
        <v>1000</v>
      </c>
      <c r="E6" t="n">
        <v>580</v>
      </c>
      <c r="F6" t="inlineStr">
        <is>
          <t>abrazadera metalica</t>
        </is>
      </c>
      <c r="G6" t="inlineStr">
        <is>
          <t>9c-8</t>
        </is>
      </c>
      <c r="I6">
        <f>SUMIFS('entradas y salidas'!I:I,'entradas y salidas'!B:B,productos!A6)</f>
        <v/>
      </c>
      <c r="J6" t="inlineStr">
        <is>
          <t>abra1006</t>
        </is>
      </c>
      <c r="K6">
        <f>SUMIFS(I:I,J:J,J6)</f>
        <v/>
      </c>
    </row>
    <row r="7">
      <c r="A7" t="inlineStr">
        <is>
          <t>abra4028</t>
        </is>
      </c>
      <c r="B7" t="inlineStr">
        <is>
          <t>abrazadera metalica titan  min 1*1/4''  max 2''</t>
        </is>
      </c>
      <c r="C7" t="inlineStr">
        <is>
          <t>titan bolsa</t>
        </is>
      </c>
      <c r="D7" t="n">
        <v>5000</v>
      </c>
      <c r="E7" t="n">
        <v>1950</v>
      </c>
      <c r="F7" t="inlineStr">
        <is>
          <t>abrazadera metalica</t>
        </is>
      </c>
      <c r="G7" t="inlineStr">
        <is>
          <t>9c-8</t>
        </is>
      </c>
      <c r="I7">
        <f>SUMIFS('entradas y salidas'!I:I,'entradas y salidas'!B:B,productos!A7)</f>
        <v/>
      </c>
      <c r="J7" t="inlineStr">
        <is>
          <t>abra4028</t>
        </is>
      </c>
      <c r="K7">
        <f>SUMIFS(I:I,J:J,J7)</f>
        <v/>
      </c>
    </row>
    <row r="8">
      <c r="A8" t="inlineStr">
        <is>
          <t>abra4016</t>
        </is>
      </c>
      <c r="B8" t="inlineStr">
        <is>
          <t>abrazadera metalica  titan min 23 max 35 mm</t>
        </is>
      </c>
      <c r="C8" t="inlineStr">
        <is>
          <t>titan bolsa</t>
        </is>
      </c>
      <c r="E8" t="n">
        <v>1600</v>
      </c>
      <c r="F8" t="inlineStr">
        <is>
          <t>abrazadera metalica</t>
        </is>
      </c>
      <c r="G8" t="inlineStr">
        <is>
          <t>9c-8</t>
        </is>
      </c>
      <c r="I8">
        <f>SUMIFS('entradas y salidas'!I:I,'entradas y salidas'!B:B,productos!A8)</f>
        <v/>
      </c>
      <c r="J8" t="inlineStr">
        <is>
          <t>abra4016</t>
        </is>
      </c>
      <c r="K8">
        <f>SUMIFS(I:I,J:J,J8)</f>
        <v/>
      </c>
    </row>
    <row r="9">
      <c r="A9" t="inlineStr">
        <is>
          <t>MK-131-N</t>
        </is>
      </c>
      <c r="B9" t="inlineStr">
        <is>
          <t>abrazadera larga y ancha plástica  7,2*500  mm</t>
        </is>
      </c>
      <c r="C9" t="inlineStr">
        <is>
          <t>MAK</t>
        </is>
      </c>
      <c r="D9" t="n">
        <v>1500</v>
      </c>
      <c r="E9" t="n">
        <v>280</v>
      </c>
      <c r="F9" t="inlineStr">
        <is>
          <t>abrazaderas</t>
        </is>
      </c>
      <c r="G9" t="n">
        <v>7</v>
      </c>
      <c r="I9">
        <f>SUMIFS('entradas y salidas'!I:I,'entradas y salidas'!B:B,productos!A9)</f>
        <v/>
      </c>
      <c r="J9" t="inlineStr">
        <is>
          <t>MK-131-N</t>
        </is>
      </c>
      <c r="K9">
        <f>SUMIFS(I:I,J:J,J9)</f>
        <v/>
      </c>
    </row>
    <row r="10">
      <c r="A10" t="inlineStr">
        <is>
          <t>mk-125-n</t>
        </is>
      </c>
      <c r="B10" t="inlineStr">
        <is>
          <t>abrazadera plastica mediana de 4,8* 300mm</t>
        </is>
      </c>
      <c r="C10" t="inlineStr">
        <is>
          <t>mak</t>
        </is>
      </c>
      <c r="D10" t="n">
        <v>1000</v>
      </c>
      <c r="E10" t="n">
        <v>130</v>
      </c>
      <c r="F10" t="inlineStr">
        <is>
          <t>abrazaderas</t>
        </is>
      </c>
      <c r="G10" t="n">
        <v>7</v>
      </c>
      <c r="I10">
        <f>SUMIFS('entradas y salidas'!I:I,'entradas y salidas'!B:B,productos!A10)</f>
        <v/>
      </c>
      <c r="J10" t="inlineStr">
        <is>
          <t>mk-125-n</t>
        </is>
      </c>
      <c r="K10">
        <f>SUMIFS(I:I,J:J,J10)</f>
        <v/>
      </c>
    </row>
    <row r="11">
      <c r="A11" t="inlineStr">
        <is>
          <t>mk-127-n</t>
        </is>
      </c>
      <c r="B11" t="inlineStr">
        <is>
          <t xml:space="preserve">abrazadea plastico 4,8*400mm </t>
        </is>
      </c>
      <c r="C11" t="inlineStr">
        <is>
          <t>mak</t>
        </is>
      </c>
      <c r="D11" t="n">
        <v>1000</v>
      </c>
      <c r="E11" t="n">
        <v>160</v>
      </c>
      <c r="F11" t="inlineStr">
        <is>
          <t>abrazaderas</t>
        </is>
      </c>
      <c r="G11" t="n">
        <v>7</v>
      </c>
      <c r="I11">
        <f>SUMIFS('entradas y salidas'!I:I,'entradas y salidas'!B:B,productos!A11)</f>
        <v/>
      </c>
      <c r="J11" t="inlineStr">
        <is>
          <t>mk-127-n</t>
        </is>
      </c>
      <c r="K11">
        <f>SUMIFS(I:I,J:J,J11)</f>
        <v/>
      </c>
    </row>
    <row r="12">
      <c r="A12" t="inlineStr">
        <is>
          <t>mk-129-n</t>
        </is>
      </c>
      <c r="B12" t="inlineStr">
        <is>
          <t>abrazadera plastica 4,8*200  pequeña</t>
        </is>
      </c>
      <c r="C12" t="inlineStr">
        <is>
          <t>MAK</t>
        </is>
      </c>
      <c r="D12" t="n">
        <v>700</v>
      </c>
      <c r="E12" t="n">
        <v>80</v>
      </c>
      <c r="F12" t="inlineStr">
        <is>
          <t>abrazaderas</t>
        </is>
      </c>
      <c r="I12">
        <f>SUMIFS('entradas y salidas'!I:I,'entradas y salidas'!B:B,productos!A12)</f>
        <v/>
      </c>
      <c r="J12" t="inlineStr">
        <is>
          <t>mk-129-n</t>
        </is>
      </c>
      <c r="K12">
        <f>SUMIFS(I:I,J:J,J12)</f>
        <v/>
      </c>
    </row>
    <row r="13">
      <c r="A13" t="inlineStr">
        <is>
          <t>5W-30</t>
        </is>
      </c>
      <c r="B13" t="inlineStr">
        <is>
          <t>aceite  1/4 mobil super 5w-30 3000</t>
        </is>
      </c>
      <c r="C13" t="inlineStr">
        <is>
          <t>MOBIL</t>
        </is>
      </c>
      <c r="D13" t="n">
        <v>50000</v>
      </c>
      <c r="F13" t="inlineStr">
        <is>
          <t>aceite</t>
        </is>
      </c>
      <c r="I13">
        <f>SUMIFS('entradas y salidas'!I:I,'entradas y salidas'!B:B,productos!A13)</f>
        <v/>
      </c>
      <c r="J13" t="inlineStr">
        <is>
          <t>5W-30</t>
        </is>
      </c>
      <c r="K13">
        <f>SUMIFS(I:I,J:J,J13)</f>
        <v/>
      </c>
    </row>
    <row r="14">
      <c r="A14" t="inlineStr">
        <is>
          <t>5W-40</t>
        </is>
      </c>
      <c r="B14" t="inlineStr">
        <is>
          <t>aceite 1/4 5w-40</t>
        </is>
      </c>
      <c r="C14" t="inlineStr">
        <is>
          <t>MOBIL</t>
        </is>
      </c>
      <c r="D14" t="n">
        <v>40000</v>
      </c>
      <c r="F14" t="inlineStr">
        <is>
          <t>aceite</t>
        </is>
      </c>
      <c r="I14">
        <f>SUMIFS('entradas y salidas'!I:I,'entradas y salidas'!B:B,productos!A14)</f>
        <v/>
      </c>
      <c r="J14" t="inlineStr">
        <is>
          <t>5W-40</t>
        </is>
      </c>
      <c r="K14">
        <f>SUMIFS(I:I,J:J,J14)</f>
        <v/>
      </c>
    </row>
    <row r="15">
      <c r="A15" t="inlineStr">
        <is>
          <t>ACEGRANG</t>
        </is>
      </c>
      <c r="B15" t="inlineStr">
        <is>
          <t>galon aceite granel (se consume 2,5 cm de altura)</t>
        </is>
      </c>
      <c r="C15" t="inlineStr">
        <is>
          <t>GRANEL</t>
        </is>
      </c>
      <c r="D15" t="n">
        <v>80000</v>
      </c>
      <c r="E15" t="n">
        <v>70000</v>
      </c>
      <c r="F15" t="inlineStr">
        <is>
          <t>aceite</t>
        </is>
      </c>
      <c r="I15">
        <f>SUMIFS('entradas y salidas'!I:I,'entradas y salidas'!B:B,productos!A15)</f>
        <v/>
      </c>
      <c r="J15" t="inlineStr">
        <is>
          <t>ACEGRANG</t>
        </is>
      </c>
      <c r="K15">
        <f>SUMIFS(I:I,J:J,J15)</f>
        <v/>
      </c>
    </row>
    <row r="16">
      <c r="A16" t="inlineStr">
        <is>
          <t>10W302</t>
        </is>
      </c>
      <c r="B16" t="inlineStr">
        <is>
          <t>galon aceite mobil super 2000 10w-30</t>
        </is>
      </c>
      <c r="C16" t="inlineStr">
        <is>
          <t>MOBIL</t>
        </is>
      </c>
      <c r="D16" t="n">
        <v>125000</v>
      </c>
      <c r="F16" t="inlineStr">
        <is>
          <t>aceite</t>
        </is>
      </c>
      <c r="I16">
        <f>SUMIFS('entradas y salidas'!I:I,'entradas y salidas'!B:B,productos!A16)</f>
        <v/>
      </c>
      <c r="J16" t="inlineStr">
        <is>
          <t>10W302</t>
        </is>
      </c>
      <c r="K16">
        <f>SUMIFS(I:I,J:J,J16)</f>
        <v/>
      </c>
    </row>
    <row r="17">
      <c r="A17" t="inlineStr">
        <is>
          <t>ACEGRANC</t>
        </is>
      </c>
      <c r="B17" t="inlineStr">
        <is>
          <t>1/4 aceite a granel   (consume 0,6 cm de altura)</t>
        </is>
      </c>
      <c r="C17" t="inlineStr">
        <is>
          <t>GRANEL</t>
        </is>
      </c>
      <c r="D17" t="n">
        <v>20000</v>
      </c>
      <c r="E17" t="n">
        <v>17000</v>
      </c>
      <c r="F17" t="inlineStr">
        <is>
          <t>aceite</t>
        </is>
      </c>
      <c r="I17">
        <f>SUMIFS('entradas y salidas'!I:I,'entradas y salidas'!B:B,productos!A17)</f>
        <v/>
      </c>
      <c r="J17" t="inlineStr">
        <is>
          <t>ACEGRANC</t>
        </is>
      </c>
      <c r="K17">
        <f>SUMIFS(I:I,J:J,J17)</f>
        <v/>
      </c>
    </row>
    <row r="18">
      <c r="A18" t="inlineStr">
        <is>
          <t>20W-50M</t>
        </is>
      </c>
      <c r="B18" t="inlineStr">
        <is>
          <t>aceite  1/4 mobil super 20w-50 1000</t>
        </is>
      </c>
      <c r="C18" t="inlineStr">
        <is>
          <t>MOBIL</t>
        </is>
      </c>
      <c r="D18" t="n">
        <v>30000</v>
      </c>
      <c r="F18" t="inlineStr">
        <is>
          <t>aceite</t>
        </is>
      </c>
      <c r="I18">
        <f>SUMIFS('entradas y salidas'!I:I,'entradas y salidas'!B:B,productos!A18)</f>
        <v/>
      </c>
      <c r="J18" t="inlineStr">
        <is>
          <t>20W-50M</t>
        </is>
      </c>
      <c r="K18">
        <f>SUMIFS(I:I,J:J,J18)</f>
        <v/>
      </c>
    </row>
    <row r="19">
      <c r="A19" t="inlineStr">
        <is>
          <t>SAE50M</t>
        </is>
      </c>
      <c r="B19" t="inlineStr">
        <is>
          <t xml:space="preserve">aceite  1/4 sae 50 mobil special hd </t>
        </is>
      </c>
      <c r="C19" t="inlineStr">
        <is>
          <t>MOBIL</t>
        </is>
      </c>
      <c r="D19" t="n">
        <v>28000</v>
      </c>
      <c r="E19" t="n">
        <v>18000</v>
      </c>
      <c r="F19" t="inlineStr">
        <is>
          <t>aceite</t>
        </is>
      </c>
      <c r="I19">
        <f>SUMIFS('entradas y salidas'!I:I,'entradas y salidas'!B:B,productos!A19)</f>
        <v/>
      </c>
      <c r="J19" t="inlineStr">
        <is>
          <t>SAE50M</t>
        </is>
      </c>
      <c r="K19">
        <f>SUMIFS(I:I,J:J,J19)</f>
        <v/>
      </c>
    </row>
    <row r="20">
      <c r="A20" t="inlineStr">
        <is>
          <t>10W30M</t>
        </is>
      </c>
      <c r="B20" t="inlineStr">
        <is>
          <t>aceite 1/4 mobil super 10w-30  2000</t>
        </is>
      </c>
      <c r="C20" t="inlineStr">
        <is>
          <t>MOBIL</t>
        </is>
      </c>
      <c r="D20" t="n">
        <v>33000</v>
      </c>
      <c r="E20" t="n">
        <v>26000</v>
      </c>
      <c r="F20" t="inlineStr">
        <is>
          <t>aceite</t>
        </is>
      </c>
      <c r="I20">
        <f>SUMIFS('entradas y salidas'!I:I,'entradas y salidas'!B:B,productos!A20)</f>
        <v/>
      </c>
      <c r="J20" t="inlineStr">
        <is>
          <t>10W30M</t>
        </is>
      </c>
      <c r="K20">
        <f>SUMIFS(I:I,J:J,J20)</f>
        <v/>
      </c>
    </row>
    <row r="21">
      <c r="A21" t="inlineStr">
        <is>
          <t>15W40D</t>
        </is>
      </c>
      <c r="B21" t="inlineStr">
        <is>
          <t>galon aceite mobil delvac mx esp 15w-40</t>
        </is>
      </c>
      <c r="C21" t="inlineStr">
        <is>
          <t>MOBIL</t>
        </is>
      </c>
      <c r="D21" t="n">
        <v>105000</v>
      </c>
      <c r="F21" t="inlineStr">
        <is>
          <t>aceite</t>
        </is>
      </c>
      <c r="I21">
        <f>SUMIFS('entradas y salidas'!I:I,'entradas y salidas'!B:B,productos!A21)</f>
        <v/>
      </c>
      <c r="J21" t="inlineStr">
        <is>
          <t>15W40D</t>
        </is>
      </c>
      <c r="K21">
        <f>SUMIFS(I:I,J:J,J21)</f>
        <v/>
      </c>
    </row>
    <row r="22">
      <c r="A22" t="inlineStr">
        <is>
          <t>SAE50GAL</t>
        </is>
      </c>
      <c r="B22" t="inlineStr">
        <is>
          <t>galon aceite mobil sae 50 special  hd</t>
        </is>
      </c>
      <c r="C22" t="inlineStr">
        <is>
          <t>MOBIL</t>
        </is>
      </c>
      <c r="D22" t="n">
        <v>105000</v>
      </c>
      <c r="E22" t="n">
        <v>90000</v>
      </c>
      <c r="F22" t="inlineStr">
        <is>
          <t>aceite</t>
        </is>
      </c>
      <c r="I22">
        <f>SUMIFS('entradas y salidas'!I:I,'entradas y salidas'!B:B,productos!A22)</f>
        <v/>
      </c>
      <c r="J22" t="inlineStr">
        <is>
          <t>SAE50GAL</t>
        </is>
      </c>
      <c r="K22">
        <f>SUMIFS(I:I,J:J,J22)</f>
        <v/>
      </c>
    </row>
    <row r="23">
      <c r="A23" t="inlineStr">
        <is>
          <t>KSL-2012</t>
        </is>
      </c>
      <c r="B23" t="inlineStr">
        <is>
          <t xml:space="preserve">bieleta estabilizadora hyundai i10 kia picanto izquierdo </t>
        </is>
      </c>
      <c r="C23" t="inlineStr">
        <is>
          <t>KTC</t>
        </is>
      </c>
      <c r="D23" t="inlineStr">
        <is>
          <t>20000</t>
        </is>
      </c>
      <c r="F23" t="inlineStr">
        <is>
          <t>muñeco</t>
        </is>
      </c>
      <c r="G23" t="inlineStr">
        <is>
          <t>2A-2</t>
        </is>
      </c>
      <c r="I23">
        <f>SUMIFS('entradas y salidas'!I:I,'entradas y salidas'!B:B,productos!A23)</f>
        <v/>
      </c>
      <c r="J23" t="inlineStr">
        <is>
          <t>KSL-2012</t>
        </is>
      </c>
    </row>
    <row r="24">
      <c r="A24" t="inlineStr">
        <is>
          <t>KRE-3106</t>
        </is>
      </c>
      <c r="B24" t="inlineStr">
        <is>
          <t>axial hyundai i10 kia picanto</t>
        </is>
      </c>
      <c r="C24" t="inlineStr">
        <is>
          <t>KTC</t>
        </is>
      </c>
      <c r="F24" t="inlineStr">
        <is>
          <t>axial</t>
        </is>
      </c>
      <c r="G24" t="inlineStr">
        <is>
          <t>2c-2</t>
        </is>
      </c>
      <c r="I24">
        <f>SUMIFS('entradas y salidas'!I:I,'entradas y salidas'!B:B,productos!A24)</f>
        <v/>
      </c>
      <c r="J24" t="inlineStr">
        <is>
          <t>KRE-3106</t>
        </is>
      </c>
    </row>
    <row r="25">
      <c r="A25" t="inlineStr">
        <is>
          <t>hy07287</t>
        </is>
      </c>
      <c r="B25" t="inlineStr">
        <is>
          <t>soporte motor kia picanto ekotaxi i10 tras bieleta</t>
        </is>
      </c>
      <c r="C25" t="inlineStr">
        <is>
          <t>effix</t>
        </is>
      </c>
      <c r="F25" t="inlineStr">
        <is>
          <t>soporte motor</t>
        </is>
      </c>
      <c r="G25" t="inlineStr">
        <is>
          <t>estante maquina inyectores - A</t>
        </is>
      </c>
      <c r="I25">
        <f>SUMIFS('entradas y salidas'!I:I,'entradas y salidas'!B:B,productos!A25)</f>
        <v/>
      </c>
      <c r="J25" t="inlineStr">
        <is>
          <t>hy07287</t>
        </is>
      </c>
    </row>
    <row r="26">
      <c r="A26" t="inlineStr">
        <is>
          <t>hy07235</t>
        </is>
      </c>
      <c r="B26" t="inlineStr">
        <is>
          <t>soporte motor kia picanto morning 05 11 i10 09 15 tras</t>
        </is>
      </c>
      <c r="C26" t="inlineStr">
        <is>
          <t>effix</t>
        </is>
      </c>
      <c r="F26" t="inlineStr">
        <is>
          <t>soporte motor</t>
        </is>
      </c>
      <c r="G26" t="inlineStr">
        <is>
          <t>estante maquina inyectores - A</t>
        </is>
      </c>
      <c r="I26">
        <f>SUMIFS('entradas y salidas'!I:I,'entradas y salidas'!B:B,productos!A26)</f>
        <v/>
      </c>
      <c r="J26" t="inlineStr">
        <is>
          <t>hy07235</t>
        </is>
      </c>
    </row>
    <row r="27">
      <c r="A27" t="inlineStr">
        <is>
          <t>hy02002/25100-02400</t>
        </is>
      </c>
      <c r="B27" t="inlineStr">
        <is>
          <t xml:space="preserve">bomba agua hyundai atos kia picanto 1,1 </t>
        </is>
      </c>
      <c r="C27" t="inlineStr">
        <is>
          <t>onnuri</t>
        </is>
      </c>
      <c r="F27" t="inlineStr">
        <is>
          <t>bomba de agua</t>
        </is>
      </c>
      <c r="G27" t="inlineStr">
        <is>
          <t>estante maquina inyectores - A</t>
        </is>
      </c>
      <c r="I27">
        <f>SUMIFS('entradas y salidas'!I:I,'entradas y salidas'!B:B,productos!A27)</f>
        <v/>
      </c>
      <c r="J27" t="inlineStr">
        <is>
          <t>hy02002/25100-02400</t>
        </is>
      </c>
    </row>
    <row r="28">
      <c r="A28" t="inlineStr">
        <is>
          <t>7390-BKR5EY</t>
        </is>
      </c>
      <c r="B28" t="inlineStr">
        <is>
          <t>bujia copa 16</t>
        </is>
      </c>
      <c r="C28" t="inlineStr">
        <is>
          <t>NGK</t>
        </is>
      </c>
      <c r="F28" t="inlineStr">
        <is>
          <t xml:space="preserve">bujias </t>
        </is>
      </c>
      <c r="G28" t="inlineStr">
        <is>
          <t>12c</t>
        </is>
      </c>
      <c r="I28">
        <f>SUMIFS('entradas y salidas'!I:I,'entradas y salidas'!B:B,productos!A28)</f>
        <v/>
      </c>
      <c r="J28" t="inlineStr">
        <is>
          <t>7390-BKR5EY</t>
        </is>
      </c>
    </row>
    <row r="29">
      <c r="A29" t="inlineStr">
        <is>
          <t>cv01129/96325246</t>
        </is>
      </c>
      <c r="B29" t="inlineStr">
        <is>
          <t xml:space="preserve">bomba aceite chevrolet spark  724 chronos daewoo matiz </t>
        </is>
      </c>
      <c r="C29" t="inlineStr">
        <is>
          <t>onnuri</t>
        </is>
      </c>
      <c r="F29" t="inlineStr">
        <is>
          <t>bomba de aceite</t>
        </is>
      </c>
      <c r="G29" t="inlineStr">
        <is>
          <t>estante maquina inyectores - A</t>
        </is>
      </c>
      <c r="I29">
        <f>SUMIFS('entradas y salidas'!I:I,'entradas y salidas'!B:B,productos!A29)</f>
        <v/>
      </c>
      <c r="J29" t="inlineStr">
        <is>
          <t>cv01129/96325246</t>
        </is>
      </c>
    </row>
    <row r="30">
      <c r="A30" t="inlineStr">
        <is>
          <t>rn07014</t>
        </is>
      </c>
      <c r="B30" t="inlineStr">
        <is>
          <t>soporte motor renault megane 2 scenic 2 trasero</t>
        </is>
      </c>
      <c r="C30" t="inlineStr">
        <is>
          <t>effix</t>
        </is>
      </c>
      <c r="F30" t="inlineStr">
        <is>
          <t>soporte motor</t>
        </is>
      </c>
      <c r="G30" t="inlineStr">
        <is>
          <t>estante maquina inyectores - A</t>
        </is>
      </c>
      <c r="I30">
        <f>SUMIFS('entradas y salidas'!I:I,'entradas y salidas'!B:B,productos!A30)</f>
        <v/>
      </c>
      <c r="J30" t="inlineStr">
        <is>
          <t>rn07014</t>
        </is>
      </c>
    </row>
    <row r="31">
      <c r="A31" t="inlineStr">
        <is>
          <t>rn07131</t>
        </is>
      </c>
      <c r="B31" t="inlineStr">
        <is>
          <t>tijera renault duster delantero derecha</t>
        </is>
      </c>
      <c r="C31" t="inlineStr">
        <is>
          <t>effix</t>
        </is>
      </c>
      <c r="F31" t="inlineStr">
        <is>
          <t>tijera</t>
        </is>
      </c>
      <c r="G31" t="inlineStr">
        <is>
          <t>6a</t>
        </is>
      </c>
      <c r="I31">
        <f>SUMIFS('entradas y salidas'!I:I,'entradas y salidas'!B:B,productos!A31)</f>
        <v/>
      </c>
      <c r="J31" t="inlineStr">
        <is>
          <t>rn07131</t>
        </is>
      </c>
    </row>
    <row r="32">
      <c r="A32" t="inlineStr">
        <is>
          <t>hy01098</t>
        </is>
      </c>
      <c r="B32" t="inlineStr">
        <is>
          <t>tensorcorrea reparticion atos  santro kia picanto</t>
        </is>
      </c>
      <c r="C32" t="inlineStr">
        <is>
          <t>kbs</t>
        </is>
      </c>
      <c r="F32" t="inlineStr">
        <is>
          <t>tensor</t>
        </is>
      </c>
      <c r="G32" t="inlineStr">
        <is>
          <t>2b-4c</t>
        </is>
      </c>
      <c r="I32">
        <f>SUMIFS('entradas y salidas'!I:I,'entradas y salidas'!B:B,productos!A32)</f>
        <v/>
      </c>
      <c r="J32" t="inlineStr">
        <is>
          <t>hy01098</t>
        </is>
      </c>
    </row>
    <row r="33">
      <c r="A33" t="inlineStr">
        <is>
          <t>cv01049/90499401</t>
        </is>
      </c>
      <c r="B33" t="inlineStr">
        <is>
          <t>tensor correa distrivusion chevrolet corsa daewoo cielo racer aveo pequeño</t>
        </is>
      </c>
      <c r="C33" t="inlineStr">
        <is>
          <t>kbs</t>
        </is>
      </c>
      <c r="F33" t="inlineStr">
        <is>
          <t>rodamiento</t>
        </is>
      </c>
      <c r="I33">
        <f>SUMIFS('entradas y salidas'!I:I,'entradas y salidas'!B:B,productos!A33)</f>
        <v/>
      </c>
      <c r="J33" t="inlineStr">
        <is>
          <t>cv01049/90499401</t>
        </is>
      </c>
    </row>
    <row r="34">
      <c r="A34" t="inlineStr">
        <is>
          <t>cv08054</t>
        </is>
      </c>
      <c r="B34" t="inlineStr">
        <is>
          <t xml:space="preserve">rodillo rueda del  chev corsa </t>
        </is>
      </c>
      <c r="C34" t="inlineStr">
        <is>
          <t>kbs</t>
        </is>
      </c>
      <c r="F34" t="inlineStr">
        <is>
          <t>rodamiento</t>
        </is>
      </c>
      <c r="G34" t="inlineStr">
        <is>
          <t>11d-a4</t>
        </is>
      </c>
      <c r="I34">
        <f>SUMIFS('entradas y salidas'!I:I,'entradas y salidas'!B:B,productos!A34)</f>
        <v/>
      </c>
      <c r="J34" t="inlineStr">
        <is>
          <t>cv08054</t>
        </is>
      </c>
    </row>
    <row r="35">
      <c r="A35" t="inlineStr">
        <is>
          <t>rn8008</t>
        </is>
      </c>
      <c r="B35" t="inlineStr">
        <is>
          <t>rodamiento tras renault logan sandero stepway bolas</t>
        </is>
      </c>
      <c r="C35" t="inlineStr">
        <is>
          <t>kbs</t>
        </is>
      </c>
      <c r="F35" t="inlineStr">
        <is>
          <t>rodamiento</t>
        </is>
      </c>
      <c r="G35" t="inlineStr">
        <is>
          <t>2b-2b</t>
        </is>
      </c>
      <c r="I35">
        <f>SUMIFS('entradas y salidas'!I:I,'entradas y salidas'!B:B,productos!A35)</f>
        <v/>
      </c>
      <c r="J35" t="inlineStr">
        <is>
          <t>rn8008</t>
        </is>
      </c>
    </row>
    <row r="36">
      <c r="A36" t="inlineStr">
        <is>
          <t>rn08007</t>
        </is>
      </c>
      <c r="B36" t="inlineStr">
        <is>
          <t xml:space="preserve">rodamiento rueda tras renault logan sandero agujas </t>
        </is>
      </c>
      <c r="C36" t="inlineStr">
        <is>
          <t>kbs</t>
        </is>
      </c>
      <c r="F36" t="inlineStr">
        <is>
          <t>rodamiento</t>
        </is>
      </c>
      <c r="G36" t="inlineStr">
        <is>
          <t>2b-2a</t>
        </is>
      </c>
      <c r="I36">
        <f>SUMIFS('entradas y salidas'!I:I,'entradas y salidas'!B:B,productos!A36)</f>
        <v/>
      </c>
      <c r="J36" t="inlineStr">
        <is>
          <t>rn08007</t>
        </is>
      </c>
    </row>
    <row r="37">
      <c r="A37" t="inlineStr">
        <is>
          <t>hy08018/51720-2k00</t>
        </is>
      </c>
      <c r="B37" t="inlineStr">
        <is>
          <t>rodamiento  delantero hyundai i35 kia soul cerato forte koup veloster</t>
        </is>
      </c>
      <c r="C37" t="inlineStr">
        <is>
          <t>kbs</t>
        </is>
      </c>
      <c r="F37" t="inlineStr">
        <is>
          <t>rodamiento</t>
        </is>
      </c>
      <c r="G37" t="inlineStr">
        <is>
          <t>11d-a7</t>
        </is>
      </c>
      <c r="I37">
        <f>SUMIFS('entradas y salidas'!I:I,'entradas y salidas'!B:B,productos!A37)</f>
        <v/>
      </c>
      <c r="J37" t="inlineStr">
        <is>
          <t>hy08018/51720-2k00</t>
        </is>
      </c>
    </row>
    <row r="38">
      <c r="A38" t="n">
        <v>24422061</v>
      </c>
      <c r="B38" t="inlineStr">
        <is>
          <t>balinera de clos corsa evolution onix soni</t>
        </is>
      </c>
      <c r="C38" t="inlineStr">
        <is>
          <t xml:space="preserve">supi </t>
        </is>
      </c>
      <c r="F38" t="inlineStr">
        <is>
          <t>balinera</t>
        </is>
      </c>
      <c r="G38" t="inlineStr">
        <is>
          <t>caja encintada</t>
        </is>
      </c>
      <c r="I38">
        <f>SUMIFS('entradas y salidas'!I:I,'entradas y salidas'!B:B,productos!A38)</f>
        <v/>
      </c>
      <c r="J38" t="n">
        <v>24422061</v>
      </c>
    </row>
    <row r="39">
      <c r="A39" t="inlineStr">
        <is>
          <t>30985x20</t>
        </is>
      </c>
      <c r="B39" t="inlineStr">
        <is>
          <t xml:space="preserve">correa reparticion 125 dientes motor 200 daewoo espero aranos kadett ipanema monza </t>
        </is>
      </c>
      <c r="C39" t="inlineStr">
        <is>
          <t>gates</t>
        </is>
      </c>
      <c r="F39" t="inlineStr">
        <is>
          <t xml:space="preserve">correa reparticion </t>
        </is>
      </c>
      <c r="G39" t="inlineStr">
        <is>
          <t>11e-a3</t>
        </is>
      </c>
      <c r="I39">
        <f>SUMIFS('entradas y salidas'!I:I,'entradas y salidas'!B:B,productos!A39)</f>
        <v/>
      </c>
      <c r="J39" t="inlineStr">
        <is>
          <t>30985x20</t>
        </is>
      </c>
    </row>
    <row r="40">
      <c r="A40" t="inlineStr">
        <is>
          <t>hy01096/24410-22020</t>
        </is>
      </c>
      <c r="B40" t="inlineStr">
        <is>
          <t>tensor correa distribución hyundai accent next verna gyro vision rio xcite</t>
        </is>
      </c>
      <c r="C40" t="inlineStr">
        <is>
          <t>kbs</t>
        </is>
      </c>
      <c r="F40" t="inlineStr">
        <is>
          <t>rodamiento</t>
        </is>
      </c>
      <c r="G40" t="inlineStr">
        <is>
          <t>11d-a5</t>
        </is>
      </c>
      <c r="I40">
        <f>SUMIFS('entradas y salidas'!I:I,'entradas y salidas'!B:B,productos!A40)</f>
        <v/>
      </c>
      <c r="J40" t="inlineStr">
        <is>
          <t>hy01096/24410-22020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B1" sqref="B1"/>
    </sheetView>
  </sheetViews>
  <sheetFormatPr baseColWidth="10" defaultRowHeight="15"/>
  <cols>
    <col width="11.42578125" customWidth="1" style="4" min="1" max="1"/>
    <col width="45.7109375" customWidth="1" min="3" max="3"/>
    <col width="11.42578125" customWidth="1" style="5" min="9" max="9"/>
    <col width="11.42578125" customWidth="1" style="5" min="13" max="24"/>
  </cols>
  <sheetData>
    <row r="1">
      <c r="A1" s="4" t="inlineStr">
        <is>
          <t>Fecha</t>
        </is>
      </c>
      <c r="B1" t="inlineStr">
        <is>
          <t>Codigo</t>
        </is>
      </c>
      <c r="C1" t="inlineStr">
        <is>
          <t>Descripcion</t>
        </is>
      </c>
      <c r="D1" t="inlineStr">
        <is>
          <t>Marca</t>
        </is>
      </c>
      <c r="E1" t="inlineStr">
        <is>
          <t>Categoria</t>
        </is>
      </c>
      <c r="F1" t="inlineStr">
        <is>
          <t>almacen</t>
        </is>
      </c>
      <c r="G1" t="inlineStr">
        <is>
          <t>Codigo unitario</t>
        </is>
      </c>
      <c r="H1" t="inlineStr">
        <is>
          <t>Mes/año</t>
        </is>
      </c>
      <c r="I1" s="5" t="inlineStr">
        <is>
          <t>cantidad</t>
        </is>
      </c>
      <c r="J1" t="inlineStr">
        <is>
          <t>observaciones</t>
        </is>
      </c>
      <c r="K1" t="inlineStr">
        <is>
          <t>ID_registro</t>
        </is>
      </c>
      <c r="L1" t="inlineStr">
        <is>
          <t>Cliente</t>
        </is>
      </c>
      <c r="M1" s="5" t="inlineStr">
        <is>
          <t>¿devolución?</t>
        </is>
      </c>
      <c r="N1" s="5" t="inlineStr">
        <is>
          <t>¿perdida anormal?</t>
        </is>
      </c>
      <c r="O1" s="5" t="inlineStr">
        <is>
          <t>Aumento anormal</t>
        </is>
      </c>
      <c r="P1" s="5" t="inlineStr">
        <is>
          <t>Cant Perdida</t>
        </is>
      </c>
      <c r="Q1" s="5" t="inlineStr">
        <is>
          <t>Devolucion a proveedor</t>
        </is>
      </c>
      <c r="R1" s="5" t="inlineStr">
        <is>
          <t>cliente nos devuelve</t>
        </is>
      </c>
      <c r="S1" s="5" t="inlineStr">
        <is>
          <t>CANT VENDIDA</t>
        </is>
      </c>
      <c r="T1" s="5" t="inlineStr">
        <is>
          <t>CANT ADQUIRIDA</t>
        </is>
      </c>
      <c r="U1" s="5" t="inlineStr">
        <is>
          <t>Costo ventas</t>
        </is>
      </c>
      <c r="V1" s="5" t="inlineStr">
        <is>
          <t>Costo adquisiciones</t>
        </is>
      </c>
      <c r="W1" s="5" t="inlineStr">
        <is>
          <t>Costo unitario</t>
        </is>
      </c>
      <c r="X1" s="5" t="inlineStr">
        <is>
          <t>precio unitario</t>
        </is>
      </c>
    </row>
    <row r="2">
      <c r="A2" s="4" t="n">
        <v>45260</v>
      </c>
      <c r="B2" t="inlineStr">
        <is>
          <t>KSL-2012</t>
        </is>
      </c>
      <c r="C2" t="inlineStr">
        <is>
          <t xml:space="preserve">bieleta estabilizadora hyundai i10 kia picanto izquierdo </t>
        </is>
      </c>
      <c r="D2" t="inlineStr">
        <is>
          <t>KTC</t>
        </is>
      </c>
      <c r="E2" t="inlineStr">
        <is>
          <t>muñeco</t>
        </is>
      </c>
      <c r="F2" t="inlineStr">
        <is>
          <t>2A-2</t>
        </is>
      </c>
      <c r="G2" t="n">
        <v>0</v>
      </c>
      <c r="H2" s="4">
        <f>TEXT(A2,"MMMM") &amp; TEXT(A2,"yy")</f>
        <v/>
      </c>
      <c r="I2" s="5" t="n">
        <v>2</v>
      </c>
      <c r="O2" s="5">
        <f>IF(N2=1,SUMIF(I2,"&gt;0"),0)</f>
        <v/>
      </c>
      <c r="P2" s="5">
        <f>IF(N2=1,SUMIF(I2,"&lt;0")*-1,0)</f>
        <v/>
      </c>
      <c r="Q2" s="5">
        <f>IF(M2=1,SUMIF(I2,"&lt;0")*-1,0)</f>
        <v/>
      </c>
      <c r="R2" s="5">
        <f>IF(M2=1,SUMIF(I2,"&gt;0"),0)</f>
        <v/>
      </c>
      <c r="S2" s="5">
        <f>SUMIFS(I2,I2,"&lt;0",M2,"",N2,"")</f>
        <v/>
      </c>
      <c r="T2" s="3">
        <f>SUMIFS(I2,I2,"&gt;0",M2,"",N2,"")</f>
        <v/>
      </c>
      <c r="U2" s="5">
        <f>IFERROR((S2*W2)*-1,0)</f>
        <v/>
      </c>
      <c r="V2" s="5">
        <f>IFERROR(T2*W2,0)</f>
        <v/>
      </c>
      <c r="W2" s="5">
        <f>VLOOKUP(B2,productos!A:K,5,FALSE)</f>
        <v/>
      </c>
      <c r="X2" s="5">
        <f>VLOOKUP(B2,productos!A:K,4,FALSE)</f>
        <v/>
      </c>
    </row>
    <row r="3">
      <c r="A3" s="4" t="n">
        <v>45260</v>
      </c>
      <c r="B3" t="inlineStr">
        <is>
          <t>KRE-3106</t>
        </is>
      </c>
      <c r="C3" t="inlineStr">
        <is>
          <t>axial hyundai i10 kia picanto</t>
        </is>
      </c>
      <c r="D3" t="inlineStr">
        <is>
          <t>KTC</t>
        </is>
      </c>
      <c r="E3" t="inlineStr">
        <is>
          <t>axial</t>
        </is>
      </c>
      <c r="F3" t="inlineStr">
        <is>
          <t>2c-2</t>
        </is>
      </c>
      <c r="G3" t="n">
        <v>0</v>
      </c>
      <c r="H3" s="4">
        <f>TEXT(A3,"MMMM") &amp; TEXT(A3,"yy")</f>
        <v/>
      </c>
      <c r="I3" s="5" t="n">
        <v>3</v>
      </c>
      <c r="O3" s="5">
        <f>IF(N3=1,SUMIF(I3,"&gt;0"),0)</f>
        <v/>
      </c>
      <c r="P3" s="5">
        <f>IF(N3=1,SUMIF(I3,"&lt;0")*-1,0)</f>
        <v/>
      </c>
      <c r="Q3" s="5">
        <f>IF(M3=1,SUMIF(I3,"&lt;0")*-1,0)</f>
        <v/>
      </c>
      <c r="R3" s="5">
        <f>IF(M3=1,SUMIF(I3,"&gt;0"),0)</f>
        <v/>
      </c>
      <c r="S3" s="5">
        <f>SUMIFS(I3,I3,"&lt;0",M3,"",N3,"")</f>
        <v/>
      </c>
      <c r="T3" s="3">
        <f>SUMIFS(I3,I3,"&gt;0",M3,"",N3,"")</f>
        <v/>
      </c>
      <c r="U3" s="5">
        <f>IFERROR((S3*W3)*-1,0)</f>
        <v/>
      </c>
      <c r="V3" s="5">
        <f>IFERROR(T3*W3,0)</f>
        <v/>
      </c>
      <c r="W3" s="5">
        <f>VLOOKUP(B3,productos!A:K,5,FALSE)</f>
        <v/>
      </c>
      <c r="X3" s="5">
        <f>VLOOKUP(B3,productos!A:K,4,FALSE)</f>
        <v/>
      </c>
    </row>
    <row r="4">
      <c r="A4" s="4" t="n">
        <v>45260</v>
      </c>
      <c r="B4" t="inlineStr">
        <is>
          <t>hy07287</t>
        </is>
      </c>
      <c r="C4" t="inlineStr">
        <is>
          <t>soporte motor kia picanto ekotaxi i10 tras bieleta</t>
        </is>
      </c>
      <c r="D4" t="inlineStr">
        <is>
          <t>effix</t>
        </is>
      </c>
      <c r="E4" t="inlineStr">
        <is>
          <t>soporte motor</t>
        </is>
      </c>
      <c r="F4" t="inlineStr">
        <is>
          <t>estante maquina inyectores - A</t>
        </is>
      </c>
      <c r="H4" s="4">
        <f>TEXT(A4,"MMMM") &amp; TEXT(A4,"yy")</f>
        <v/>
      </c>
      <c r="I4" s="5" t="n">
        <v>1</v>
      </c>
      <c r="O4" s="5">
        <f>IF(N4=1,SUMIF(I4,"&gt;0"),0)</f>
        <v/>
      </c>
      <c r="P4" s="5">
        <f>IF(N4=1,SUMIF(I4,"&lt;0")*-1,0)</f>
        <v/>
      </c>
      <c r="Q4" s="5">
        <f>IF(M4=1,SUMIF(I4,"&lt;0")*-1,0)</f>
        <v/>
      </c>
      <c r="R4" s="5">
        <f>IF(M4=1,SUMIF(I4,"&gt;0"),0)</f>
        <v/>
      </c>
      <c r="S4" s="5">
        <f>SUMIFS(I4,I4,"&lt;0",M4,"",N4,"")</f>
        <v/>
      </c>
      <c r="T4" s="3">
        <f>SUMIFS(I4,I4,"&gt;0",M4,"",N4,"")</f>
        <v/>
      </c>
      <c r="U4" s="5">
        <f>IFERROR((S4*W4)*-1,0)</f>
        <v/>
      </c>
      <c r="V4" s="5">
        <f>IFERROR(T4*W4,0)</f>
        <v/>
      </c>
      <c r="W4" s="5">
        <f>VLOOKUP(B4,productos!A:K,5,FALSE)</f>
        <v/>
      </c>
      <c r="X4" s="5">
        <f>VLOOKUP(B4,productos!A:K,4,FALSE)</f>
        <v/>
      </c>
    </row>
    <row r="5">
      <c r="A5" s="4" t="n">
        <v>45260</v>
      </c>
      <c r="B5" t="inlineStr">
        <is>
          <t>hy07235</t>
        </is>
      </c>
      <c r="C5" t="inlineStr">
        <is>
          <t>soporte motor kia picanto morning 05 11 i10 09 15 tras</t>
        </is>
      </c>
      <c r="D5" t="inlineStr">
        <is>
          <t>effix</t>
        </is>
      </c>
      <c r="E5" t="inlineStr">
        <is>
          <t>soporte motor</t>
        </is>
      </c>
      <c r="F5" t="inlineStr">
        <is>
          <t>estante maquina inyectores - A</t>
        </is>
      </c>
      <c r="H5" s="4">
        <f>TEXT(A5,"MMMM") &amp; TEXT(A5,"yy")</f>
        <v/>
      </c>
      <c r="I5" s="5" t="n">
        <v>1</v>
      </c>
      <c r="O5" s="5">
        <f>IF(N5=1,SUMIF(I5,"&gt;0"),0)</f>
        <v/>
      </c>
      <c r="P5" s="5">
        <f>IF(N5=1,SUMIF(I5,"&lt;0")*-1,0)</f>
        <v/>
      </c>
      <c r="Q5" s="5">
        <f>IF(M5=1,SUMIF(I5,"&lt;0")*-1,0)</f>
        <v/>
      </c>
      <c r="R5" s="5">
        <f>IF(M5=1,SUMIF(I5,"&gt;0"),0)</f>
        <v/>
      </c>
      <c r="S5" s="5">
        <f>SUMIFS(I5,I5,"&lt;0",M5,"",N5,"")</f>
        <v/>
      </c>
      <c r="T5" s="3">
        <f>SUMIFS(I5,I5,"&gt;0",M5,"",N5,"")</f>
        <v/>
      </c>
      <c r="U5" s="5">
        <f>IFERROR((S5*W5)*-1,0)</f>
        <v/>
      </c>
      <c r="V5" s="5">
        <f>IFERROR(T5*W5,0)</f>
        <v/>
      </c>
      <c r="W5" s="5">
        <f>VLOOKUP(B5,productos!A:K,5,FALSE)</f>
        <v/>
      </c>
      <c r="X5" s="5">
        <f>VLOOKUP(B5,productos!A:K,4,FALSE)</f>
        <v/>
      </c>
    </row>
    <row r="6">
      <c r="A6" s="4" t="n">
        <v>45260</v>
      </c>
      <c r="B6" t="inlineStr">
        <is>
          <t>hy02002/25100-02400</t>
        </is>
      </c>
      <c r="C6" t="inlineStr">
        <is>
          <t xml:space="preserve">bomba agua hyundai atos kia picanto 1,1 </t>
        </is>
      </c>
      <c r="D6" t="inlineStr">
        <is>
          <t>onnuri</t>
        </is>
      </c>
      <c r="E6" t="inlineStr">
        <is>
          <t>bomba de agua</t>
        </is>
      </c>
      <c r="F6" t="inlineStr">
        <is>
          <t>estante maquina inyectores - A</t>
        </is>
      </c>
      <c r="H6" s="4">
        <f>TEXT(A6,"MMMM") &amp; TEXT(A6,"yy")</f>
        <v/>
      </c>
      <c r="I6" s="5" t="n">
        <v>2</v>
      </c>
      <c r="O6" s="5">
        <f>IF(N6=1,SUMIF(I6,"&gt;0"),0)</f>
        <v/>
      </c>
      <c r="P6" s="5">
        <f>IF(N6=1,SUMIF(I6,"&lt;0")*-1,0)</f>
        <v/>
      </c>
      <c r="Q6" s="5">
        <f>IF(M6=1,SUMIF(I6,"&lt;0")*-1,0)</f>
        <v/>
      </c>
      <c r="R6" s="5">
        <f>IF(M6=1,SUMIF(I6,"&gt;0"),0)</f>
        <v/>
      </c>
      <c r="S6" s="5">
        <f>SUMIFS(I6,I6,"&lt;0",M6,"",N6,"")</f>
        <v/>
      </c>
      <c r="T6" s="3">
        <f>SUMIFS(I6,I6,"&gt;0",M6,"",N6,"")</f>
        <v/>
      </c>
      <c r="U6" s="5">
        <f>IFERROR((S6*W6)*-1,0)</f>
        <v/>
      </c>
      <c r="V6" s="5">
        <f>IFERROR(T6*W6,0)</f>
        <v/>
      </c>
      <c r="W6" s="5">
        <f>VLOOKUP(B6,productos!A:K,5,FALSE)</f>
        <v/>
      </c>
      <c r="X6" s="5">
        <f>VLOOKUP(B6,productos!A:K,4,FALSE)</f>
        <v/>
      </c>
    </row>
    <row r="7">
      <c r="A7" s="4" t="n">
        <v>45260</v>
      </c>
      <c r="B7" t="inlineStr">
        <is>
          <t>7390-BKR5EY</t>
        </is>
      </c>
      <c r="C7" t="inlineStr">
        <is>
          <t>bujia copa 16</t>
        </is>
      </c>
      <c r="D7" t="inlineStr">
        <is>
          <t>NGK</t>
        </is>
      </c>
      <c r="E7" t="inlineStr">
        <is>
          <t xml:space="preserve">bujias </t>
        </is>
      </c>
      <c r="F7" t="inlineStr">
        <is>
          <t>12c</t>
        </is>
      </c>
      <c r="G7" t="n">
        <v>0</v>
      </c>
      <c r="H7" s="4">
        <f>TEXT(A7,"MMMM") &amp; TEXT(A7,"yy")</f>
        <v/>
      </c>
      <c r="I7" s="5" t="n">
        <v>6</v>
      </c>
      <c r="O7" s="5">
        <f>IF(N7=1,SUMIF(I7,"&gt;0"),0)</f>
        <v/>
      </c>
      <c r="P7" s="5">
        <f>IF(N7=1,SUMIF(I7,"&lt;0")*-1,0)</f>
        <v/>
      </c>
      <c r="Q7" s="5">
        <f>IF(M7=1,SUMIF(I7,"&lt;0")*-1,0)</f>
        <v/>
      </c>
      <c r="R7" s="5">
        <f>IF(M7=1,SUMIF(I7,"&gt;0"),0)</f>
        <v/>
      </c>
      <c r="S7" s="5">
        <f>SUMIFS(I7,I7,"&lt;0",M7,"",N7,"")</f>
        <v/>
      </c>
      <c r="T7" s="3">
        <f>SUMIFS(I7,I7,"&gt;0",M7,"",N7,"")</f>
        <v/>
      </c>
      <c r="U7" s="5">
        <f>IFERROR((S7*W7)*-1,0)</f>
        <v/>
      </c>
      <c r="V7" s="5">
        <f>IFERROR(T7*W7,0)</f>
        <v/>
      </c>
      <c r="W7" s="5">
        <f>VLOOKUP(B7,productos!A:K,5,FALSE)</f>
        <v/>
      </c>
      <c r="X7" s="5">
        <f>VLOOKUP(B7,productos!A:K,4,FALSE)</f>
        <v/>
      </c>
    </row>
    <row r="8">
      <c r="A8" s="4" t="n">
        <v>45260</v>
      </c>
      <c r="B8" t="inlineStr">
        <is>
          <t>cv01129/96325246</t>
        </is>
      </c>
      <c r="C8" t="inlineStr">
        <is>
          <t xml:space="preserve">bomba aceite chevrolet spark  724 chronos daewoo matiz </t>
        </is>
      </c>
      <c r="D8" t="inlineStr">
        <is>
          <t>onnuri</t>
        </is>
      </c>
      <c r="E8" t="inlineStr">
        <is>
          <t>bomba de aceite</t>
        </is>
      </c>
      <c r="F8" t="inlineStr">
        <is>
          <t>estante maquina inyectores - A</t>
        </is>
      </c>
      <c r="H8" s="4">
        <f>TEXT(A8,"MMMM") &amp; TEXT(A8,"yy")</f>
        <v/>
      </c>
      <c r="I8" s="5" t="n">
        <v>1</v>
      </c>
      <c r="O8" s="5">
        <f>IF(N8=1,SUMIF(I8,"&gt;0"),0)</f>
        <v/>
      </c>
      <c r="P8" s="5">
        <f>IF(N8=1,SUMIF(I8,"&lt;0")*-1,0)</f>
        <v/>
      </c>
      <c r="Q8" s="5">
        <f>IF(M8=1,SUMIF(I8,"&lt;0")*-1,0)</f>
        <v/>
      </c>
      <c r="R8" s="5">
        <f>IF(M8=1,SUMIF(I8,"&gt;0"),0)</f>
        <v/>
      </c>
      <c r="S8" s="5">
        <f>SUMIFS(I8,I8,"&lt;0",M8,"",N8,"")</f>
        <v/>
      </c>
      <c r="T8" s="3">
        <f>SUMIFS(I8,I8,"&gt;0",M8,"",N8,"")</f>
        <v/>
      </c>
      <c r="U8" s="5">
        <f>IFERROR((S8*W8)*-1,0)</f>
        <v/>
      </c>
      <c r="V8" s="5">
        <f>IFERROR(T8*W8,0)</f>
        <v/>
      </c>
      <c r="W8" s="5">
        <f>VLOOKUP(B8,productos!A:K,5,FALSE)</f>
        <v/>
      </c>
      <c r="X8" s="5">
        <f>VLOOKUP(B8,productos!A:K,4,FALSE)</f>
        <v/>
      </c>
    </row>
    <row r="9">
      <c r="A9" s="4" t="n">
        <v>45260</v>
      </c>
      <c r="B9" t="inlineStr">
        <is>
          <t>rn07014</t>
        </is>
      </c>
      <c r="C9" t="inlineStr">
        <is>
          <t>soporte motor renault megane 2 scenic 2 trasero</t>
        </is>
      </c>
      <c r="D9" t="inlineStr">
        <is>
          <t>effix</t>
        </is>
      </c>
      <c r="E9" t="inlineStr">
        <is>
          <t>soporte motor</t>
        </is>
      </c>
      <c r="F9" t="inlineStr">
        <is>
          <t>estante maquina inyectores - A</t>
        </is>
      </c>
      <c r="H9" s="4">
        <f>TEXT(A9,"MMMM") &amp; TEXT(A9,"yy")</f>
        <v/>
      </c>
      <c r="I9" s="5" t="n">
        <v>1</v>
      </c>
      <c r="O9" s="5">
        <f>IF(N9=1,SUMIF(I9,"&gt;0"),0)</f>
        <v/>
      </c>
      <c r="P9" s="5">
        <f>IF(N9=1,SUMIF(I9,"&lt;0")*-1,0)</f>
        <v/>
      </c>
      <c r="Q9" s="5">
        <f>IF(M9=1,SUMIF(I9,"&lt;0")*-1,0)</f>
        <v/>
      </c>
      <c r="R9" s="5">
        <f>IF(M9=1,SUMIF(I9,"&gt;0"),0)</f>
        <v/>
      </c>
      <c r="S9" s="5">
        <f>SUMIFS(I9,I9,"&lt;0",M9,"",N9,"")</f>
        <v/>
      </c>
      <c r="T9" s="3">
        <f>SUMIFS(I9,I9,"&gt;0",M9,"",N9,"")</f>
        <v/>
      </c>
      <c r="U9" s="5">
        <f>IFERROR((S9*W9)*-1,0)</f>
        <v/>
      </c>
      <c r="V9" s="5">
        <f>IFERROR(T9*W9,0)</f>
        <v/>
      </c>
      <c r="W9" s="5">
        <f>VLOOKUP(B9,productos!A:K,5,FALSE)</f>
        <v/>
      </c>
      <c r="X9" s="5">
        <f>VLOOKUP(B9,productos!A:K,4,FALSE)</f>
        <v/>
      </c>
    </row>
    <row r="10">
      <c r="A10" s="4" t="n">
        <v>45260</v>
      </c>
      <c r="B10" t="inlineStr">
        <is>
          <t>rn07131</t>
        </is>
      </c>
      <c r="C10" t="inlineStr">
        <is>
          <t>tijera renault duster delantero derecha</t>
        </is>
      </c>
      <c r="D10" t="inlineStr">
        <is>
          <t>effix</t>
        </is>
      </c>
      <c r="E10" t="inlineStr">
        <is>
          <t>tijera</t>
        </is>
      </c>
      <c r="F10" t="inlineStr">
        <is>
          <t>6a</t>
        </is>
      </c>
      <c r="H10" s="4">
        <f>TEXT(A10,"MMMM") &amp; TEXT(A10,"yy")</f>
        <v/>
      </c>
      <c r="I10" s="5" t="n">
        <v>2</v>
      </c>
      <c r="O10" s="5">
        <f>IF(N10=1,SUMIF(I10,"&gt;0"),0)</f>
        <v/>
      </c>
      <c r="P10" s="5">
        <f>IF(N10=1,SUMIF(I10,"&lt;0")*-1,0)</f>
        <v/>
      </c>
      <c r="Q10" s="5">
        <f>IF(M10=1,SUMIF(I10,"&lt;0")*-1,0)</f>
        <v/>
      </c>
      <c r="R10" s="5">
        <f>IF(M10=1,SUMIF(I10,"&gt;0"),0)</f>
        <v/>
      </c>
      <c r="S10" s="5">
        <f>SUMIFS(I10,I10,"&lt;0",M10,"",N10,"")</f>
        <v/>
      </c>
      <c r="T10" s="3">
        <f>SUMIFS(I10,I10,"&gt;0",M10,"",N10,"")</f>
        <v/>
      </c>
      <c r="U10" s="5">
        <f>IFERROR((S10*W10)*-1,0)</f>
        <v/>
      </c>
      <c r="V10" s="5">
        <f>IFERROR(T10*W10,0)</f>
        <v/>
      </c>
      <c r="W10" s="5">
        <f>VLOOKUP(B10,productos!A:K,5,FALSE)</f>
        <v/>
      </c>
      <c r="X10" s="5">
        <f>VLOOKUP(B10,productos!A:K,4,FALSE)</f>
        <v/>
      </c>
    </row>
    <row r="11">
      <c r="A11" s="4" t="n">
        <v>45260</v>
      </c>
      <c r="B11" t="inlineStr">
        <is>
          <t>hy01098</t>
        </is>
      </c>
      <c r="C11" t="inlineStr">
        <is>
          <t>tensorcorrea reparticion atos  santro kia picanto</t>
        </is>
      </c>
      <c r="D11" t="inlineStr">
        <is>
          <t>kbs</t>
        </is>
      </c>
      <c r="E11" t="inlineStr">
        <is>
          <t>tensor</t>
        </is>
      </c>
      <c r="F11" t="inlineStr">
        <is>
          <t>2b-4c</t>
        </is>
      </c>
      <c r="H11" s="4">
        <f>TEXT(A11,"MMMM") &amp; TEXT(A11,"yy")</f>
        <v/>
      </c>
      <c r="I11" s="5" t="n">
        <v>7</v>
      </c>
      <c r="O11" s="5">
        <f>IF(N11=1,SUMIF(I11,"&gt;0"),0)</f>
        <v/>
      </c>
      <c r="P11" s="5">
        <f>IF(N11=1,SUMIF(I11,"&lt;0")*-1,0)</f>
        <v/>
      </c>
      <c r="Q11" s="5">
        <f>IF(M11=1,SUMIF(I11,"&lt;0")*-1,0)</f>
        <v/>
      </c>
      <c r="R11" s="5">
        <f>IF(M11=1,SUMIF(I11,"&gt;0"),0)</f>
        <v/>
      </c>
      <c r="S11" s="5">
        <f>SUMIFS(I11,I11,"&lt;0",M11,"",N11,"")</f>
        <v/>
      </c>
      <c r="T11" s="3">
        <f>SUMIFS(I11,I11,"&gt;0",M11,"",N11,"")</f>
        <v/>
      </c>
      <c r="U11" s="5">
        <f>IFERROR((S11*W11)*-1,0)</f>
        <v/>
      </c>
      <c r="V11" s="5">
        <f>IFERROR(T11*W11,0)</f>
        <v/>
      </c>
      <c r="W11" s="5">
        <f>VLOOKUP(B11,productos!A:K,5,FALSE)</f>
        <v/>
      </c>
      <c r="X11" s="5">
        <f>VLOOKUP(B11,productos!A:K,4,FALSE)</f>
        <v/>
      </c>
    </row>
    <row r="12">
      <c r="A12" s="4" t="n">
        <v>45260</v>
      </c>
      <c r="B12" t="inlineStr">
        <is>
          <t>cv01049/90499401</t>
        </is>
      </c>
      <c r="C12" t="inlineStr">
        <is>
          <t>tensor correa distrivusion chevrolet corsa daewoo cielo racer aveo pequeño</t>
        </is>
      </c>
      <c r="D12" t="inlineStr">
        <is>
          <t>kbs</t>
        </is>
      </c>
      <c r="E12" t="inlineStr">
        <is>
          <t>rodamiento</t>
        </is>
      </c>
      <c r="H12" s="4">
        <f>TEXT(A12,"MMMM") &amp; TEXT(A12,"yy")</f>
        <v/>
      </c>
      <c r="I12" s="5" t="n">
        <v>10</v>
      </c>
      <c r="O12" s="5">
        <f>IF(N12=1,SUMIF(I12,"&gt;0"),0)</f>
        <v/>
      </c>
      <c r="P12" s="5">
        <f>IF(N12=1,SUMIF(I12,"&lt;0")*-1,0)</f>
        <v/>
      </c>
      <c r="Q12" s="5">
        <f>IF(M12=1,SUMIF(I12,"&lt;0")*-1,0)</f>
        <v/>
      </c>
      <c r="R12" s="5">
        <f>IF(M12=1,SUMIF(I12,"&gt;0"),0)</f>
        <v/>
      </c>
      <c r="S12" s="5">
        <f>SUMIFS(I12,I12,"&lt;0",M12,"",N12,"")</f>
        <v/>
      </c>
      <c r="T12" s="3">
        <f>SUMIFS(I12,I12,"&gt;0",M12,"",N12,"")</f>
        <v/>
      </c>
      <c r="U12" s="5">
        <f>IFERROR((S12*W12)*-1,0)</f>
        <v/>
      </c>
      <c r="V12" s="5">
        <f>IFERROR(T12*W12,0)</f>
        <v/>
      </c>
      <c r="W12" s="5">
        <f>VLOOKUP(B12,productos!A:K,5,FALSE)</f>
        <v/>
      </c>
      <c r="X12" s="5">
        <f>VLOOKUP(B12,productos!A:K,4,FALSE)</f>
        <v/>
      </c>
    </row>
    <row r="13">
      <c r="A13" s="4" t="n">
        <v>45260</v>
      </c>
      <c r="B13" t="inlineStr">
        <is>
          <t>cv08054</t>
        </is>
      </c>
      <c r="C13" t="inlineStr">
        <is>
          <t xml:space="preserve">rodillo rueda del  chev corsa </t>
        </is>
      </c>
      <c r="D13" t="inlineStr">
        <is>
          <t>kbs</t>
        </is>
      </c>
      <c r="E13" t="inlineStr">
        <is>
          <t>rodamiento</t>
        </is>
      </c>
      <c r="F13" t="inlineStr">
        <is>
          <t>11d-a4</t>
        </is>
      </c>
      <c r="H13" s="4">
        <f>TEXT(A13,"MMMM") &amp; TEXT(A13,"yy")</f>
        <v/>
      </c>
      <c r="I13" s="5" t="n">
        <v>4</v>
      </c>
      <c r="O13" s="5">
        <f>IF(N13=1,SUMIF(I13,"&gt;0"),0)</f>
        <v/>
      </c>
      <c r="P13" s="5">
        <f>IF(N13=1,SUMIF(I13,"&lt;0")*-1,0)</f>
        <v/>
      </c>
      <c r="Q13" s="5">
        <f>IF(M13=1,SUMIF(I13,"&lt;0")*-1,0)</f>
        <v/>
      </c>
      <c r="R13" s="5">
        <f>IF(M13=1,SUMIF(I13,"&gt;0"),0)</f>
        <v/>
      </c>
      <c r="S13" s="5">
        <f>SUMIFS(I13,I13,"&lt;0",M13,"",N13,"")</f>
        <v/>
      </c>
      <c r="T13" s="3">
        <f>SUMIFS(I13,I13,"&gt;0",M13,"",N13,"")</f>
        <v/>
      </c>
      <c r="U13" s="5">
        <f>IFERROR((S13*W13)*-1,0)</f>
        <v/>
      </c>
      <c r="V13" s="5">
        <f>IFERROR(T13*W13,0)</f>
        <v/>
      </c>
      <c r="W13" s="5">
        <f>VLOOKUP(B13,productos!A:K,5,FALSE)</f>
        <v/>
      </c>
      <c r="X13" s="5">
        <f>VLOOKUP(B13,productos!A:K,4,FALSE)</f>
        <v/>
      </c>
    </row>
    <row r="14">
      <c r="A14" s="4" t="n">
        <v>45260</v>
      </c>
      <c r="B14" t="inlineStr">
        <is>
          <t>rn8008</t>
        </is>
      </c>
      <c r="C14" t="inlineStr">
        <is>
          <t>rodamiento tras renault logan sandero stepway bolas</t>
        </is>
      </c>
      <c r="D14" t="inlineStr">
        <is>
          <t>kbs</t>
        </is>
      </c>
      <c r="E14" t="inlineStr">
        <is>
          <t>rodamiento</t>
        </is>
      </c>
      <c r="F14" t="inlineStr">
        <is>
          <t>2b-2b</t>
        </is>
      </c>
      <c r="H14" s="4">
        <f>TEXT(A14,"MMMM") &amp; TEXT(A14,"yy")</f>
        <v/>
      </c>
      <c r="I14" s="5" t="n">
        <v>1</v>
      </c>
      <c r="O14" s="5">
        <f>IF(N14=1,SUMIF(I14,"&gt;0"),0)</f>
        <v/>
      </c>
      <c r="P14" s="5">
        <f>IF(N14=1,SUMIF(I14,"&lt;0")*-1,0)</f>
        <v/>
      </c>
      <c r="Q14" s="5">
        <f>IF(M14=1,SUMIF(I14,"&lt;0")*-1,0)</f>
        <v/>
      </c>
      <c r="R14" s="5">
        <f>IF(M14=1,SUMIF(I14,"&gt;0"),0)</f>
        <v/>
      </c>
      <c r="S14" s="5">
        <f>SUMIFS(I14,I14,"&lt;0",M14,"",N14,"")</f>
        <v/>
      </c>
      <c r="T14" s="3">
        <f>SUMIFS(I14,I14,"&gt;0",M14,"",N14,"")</f>
        <v/>
      </c>
      <c r="U14" s="5">
        <f>IFERROR((S14*W14)*-1,0)</f>
        <v/>
      </c>
      <c r="V14" s="5">
        <f>IFERROR(T14*W14,0)</f>
        <v/>
      </c>
      <c r="W14" s="5">
        <f>VLOOKUP(B14,productos!A:K,5,FALSE)</f>
        <v/>
      </c>
      <c r="X14" s="5">
        <f>VLOOKUP(B14,productos!A:K,4,FALSE)</f>
        <v/>
      </c>
    </row>
    <row r="15">
      <c r="A15" s="4" t="n">
        <v>45260</v>
      </c>
      <c r="B15" t="inlineStr">
        <is>
          <t>rn08007</t>
        </is>
      </c>
      <c r="C15" t="inlineStr">
        <is>
          <t xml:space="preserve">rodamiento rueda tras renault logan sandero agujas </t>
        </is>
      </c>
      <c r="D15" t="inlineStr">
        <is>
          <t>kbs</t>
        </is>
      </c>
      <c r="E15" t="inlineStr">
        <is>
          <t>rodamiento</t>
        </is>
      </c>
      <c r="F15" t="inlineStr">
        <is>
          <t>2b-2a</t>
        </is>
      </c>
      <c r="H15" s="4">
        <f>TEXT(A15,"MMMM") &amp; TEXT(A15,"yy")</f>
        <v/>
      </c>
      <c r="I15" s="5" t="n">
        <v>1</v>
      </c>
      <c r="O15" s="5">
        <f>IF(N15=1,SUMIF(I15,"&gt;0"),0)</f>
        <v/>
      </c>
      <c r="P15" s="5">
        <f>IF(N15=1,SUMIF(I15,"&lt;0")*-1,0)</f>
        <v/>
      </c>
      <c r="Q15" s="5">
        <f>IF(M15=1,SUMIF(I15,"&lt;0")*-1,0)</f>
        <v/>
      </c>
      <c r="R15" s="5">
        <f>IF(M15=1,SUMIF(I15,"&gt;0"),0)</f>
        <v/>
      </c>
      <c r="S15" s="5">
        <f>SUMIFS(I15,I15,"&lt;0",M15,"",N15,"")</f>
        <v/>
      </c>
      <c r="T15" s="3">
        <f>SUMIFS(I15,I15,"&gt;0",M15,"",N15,"")</f>
        <v/>
      </c>
      <c r="U15" s="5">
        <f>IFERROR((S15*W15)*-1,0)</f>
        <v/>
      </c>
      <c r="V15" s="5">
        <f>IFERROR(T15*W15,0)</f>
        <v/>
      </c>
      <c r="W15" s="5">
        <f>VLOOKUP(B15,productos!A:K,5,FALSE)</f>
        <v/>
      </c>
      <c r="X15" s="5">
        <f>VLOOKUP(B15,productos!A:K,4,FALSE)</f>
        <v/>
      </c>
    </row>
    <row r="16">
      <c r="A16" s="4" t="n">
        <v>45260</v>
      </c>
      <c r="B16" t="inlineStr">
        <is>
          <t>hy08018/51720-2k00</t>
        </is>
      </c>
      <c r="C16" t="inlineStr">
        <is>
          <t>rodamiento  delantero hyundai i35 kia soul cerato forte koup veloster</t>
        </is>
      </c>
      <c r="D16" t="inlineStr">
        <is>
          <t>kbs</t>
        </is>
      </c>
      <c r="E16" t="inlineStr">
        <is>
          <t>rodamiento</t>
        </is>
      </c>
      <c r="F16" t="inlineStr">
        <is>
          <t>11d-a7</t>
        </is>
      </c>
      <c r="H16" s="4">
        <f>TEXT(A16,"MMMM") &amp; TEXT(A16,"yy")</f>
        <v/>
      </c>
      <c r="I16" s="5" t="n">
        <v>1</v>
      </c>
      <c r="O16" s="5">
        <f>IF(N16=1,SUMIF(I16,"&gt;0"),0)</f>
        <v/>
      </c>
      <c r="P16" s="5">
        <f>IF(N16=1,SUMIF(I16,"&lt;0")*-1,0)</f>
        <v/>
      </c>
      <c r="Q16" s="5">
        <f>IF(M16=1,SUMIF(I16,"&lt;0")*-1,0)</f>
        <v/>
      </c>
      <c r="R16" s="5">
        <f>IF(M16=1,SUMIF(I16,"&gt;0"),0)</f>
        <v/>
      </c>
      <c r="S16" s="5">
        <f>SUMIFS(I16,I16,"&lt;0",M16,"",N16,"")</f>
        <v/>
      </c>
      <c r="T16" s="3">
        <f>SUMIFS(I16,I16,"&gt;0",M16,"",N16,"")</f>
        <v/>
      </c>
      <c r="U16" s="5">
        <f>IFERROR((S16*W16)*-1,0)</f>
        <v/>
      </c>
      <c r="V16" s="5">
        <f>IFERROR(T16*W16,0)</f>
        <v/>
      </c>
      <c r="W16" s="5">
        <f>VLOOKUP(B16,productos!A:K,5,FALSE)</f>
        <v/>
      </c>
      <c r="X16" s="5">
        <f>VLOOKUP(B16,productos!A:K,4,FALSE)</f>
        <v/>
      </c>
    </row>
    <row r="17">
      <c r="A17" s="4" t="n">
        <v>45260</v>
      </c>
      <c r="B17" t="n">
        <v>24422061</v>
      </c>
      <c r="C17" t="inlineStr">
        <is>
          <t>balinera de clos corsa evolution onix soni</t>
        </is>
      </c>
      <c r="D17" t="inlineStr">
        <is>
          <t xml:space="preserve">supi </t>
        </is>
      </c>
      <c r="E17" t="inlineStr">
        <is>
          <t>balinera</t>
        </is>
      </c>
      <c r="F17" t="inlineStr">
        <is>
          <t>caja encintada</t>
        </is>
      </c>
      <c r="H17" s="4">
        <f>TEXT(A17,"MMMM") &amp; TEXT(A17,"yy")</f>
        <v/>
      </c>
      <c r="I17" s="5" t="n">
        <v>1</v>
      </c>
      <c r="O17" s="5">
        <f>IF(N17=1,SUMIF(I17,"&gt;0"),0)</f>
        <v/>
      </c>
      <c r="P17" s="5">
        <f>IF(N17=1,SUMIF(I17,"&lt;0")*-1,0)</f>
        <v/>
      </c>
      <c r="Q17" s="5">
        <f>IF(M17=1,SUMIF(I17,"&lt;0")*-1,0)</f>
        <v/>
      </c>
      <c r="R17" s="5">
        <f>IF(M17=1,SUMIF(I17,"&gt;0"),0)</f>
        <v/>
      </c>
      <c r="S17" s="5">
        <f>SUMIFS(I17,I17,"&lt;0",M17,"",N17,"")</f>
        <v/>
      </c>
      <c r="T17" s="3">
        <f>SUMIFS(I17,I17,"&gt;0",M17,"",N17,"")</f>
        <v/>
      </c>
      <c r="U17" s="5">
        <f>IFERROR((S17*W17)*-1,0)</f>
        <v/>
      </c>
      <c r="V17" s="5">
        <f>IFERROR(T17*W17,0)</f>
        <v/>
      </c>
      <c r="W17" s="5">
        <f>VLOOKUP(B17,productos!A:K,5,FALSE)</f>
        <v/>
      </c>
      <c r="X17" s="5">
        <f>VLOOKUP(B17,productos!A:K,4,FALSE)</f>
        <v/>
      </c>
    </row>
    <row r="18">
      <c r="A18" s="4" t="n">
        <v>45260</v>
      </c>
      <c r="B18" t="inlineStr">
        <is>
          <t>30985x20</t>
        </is>
      </c>
      <c r="C18" t="inlineStr">
        <is>
          <t xml:space="preserve">correa reparticion 125 dientes motor 200 daewoo espero aranos kadett ipanema monza </t>
        </is>
      </c>
      <c r="D18" t="inlineStr">
        <is>
          <t>gates</t>
        </is>
      </c>
      <c r="E18" t="inlineStr">
        <is>
          <t xml:space="preserve">correa reparticion </t>
        </is>
      </c>
      <c r="F18" t="inlineStr">
        <is>
          <t>11e-a3</t>
        </is>
      </c>
      <c r="H18" s="4">
        <f>TEXT(A18,"MMMM") &amp; TEXT(A18,"yy")</f>
        <v/>
      </c>
      <c r="I18" s="5" t="n">
        <v>1</v>
      </c>
      <c r="N18" s="5" t="n">
        <v>1</v>
      </c>
      <c r="O18" s="5">
        <f>IF(N18=1,SUMIF(I18,"&gt;0"),0)</f>
        <v/>
      </c>
      <c r="P18" s="5">
        <f>IF(N18=1,SUMIF(I18,"&lt;0")*-1,0)</f>
        <v/>
      </c>
      <c r="Q18" s="5">
        <f>IF(M18=1,SUMIF(I18,"&lt;0")*-1,0)</f>
        <v/>
      </c>
      <c r="R18" s="5">
        <f>IF(M18=1,SUMIF(I18,"&gt;0"),0)</f>
        <v/>
      </c>
      <c r="S18" s="5">
        <f>SUMIFS(I18,I18,"&lt;0",M18,"",N18,"")</f>
        <v/>
      </c>
      <c r="T18" s="3">
        <f>SUMIFS(I18,I18,"&gt;0",M18,"",N18,"")</f>
        <v/>
      </c>
      <c r="U18" s="5">
        <f>IFERROR((S18*W18)*-1,0)</f>
        <v/>
      </c>
      <c r="V18" s="5">
        <f>IFERROR(T18*W18,0)</f>
        <v/>
      </c>
      <c r="W18" s="5">
        <f>VLOOKUP(B18,productos!A:K,5,FALSE)</f>
        <v/>
      </c>
      <c r="X18" s="5">
        <f>VLOOKUP(B18,productos!A:K,4,FALSE)</f>
        <v/>
      </c>
    </row>
    <row r="19">
      <c r="A19" s="4" t="n">
        <v>45260</v>
      </c>
      <c r="B19" t="inlineStr">
        <is>
          <t>hy01096/24410-22020</t>
        </is>
      </c>
      <c r="C19" t="inlineStr">
        <is>
          <t>tensor correa distribución hyundai accent next verna gyro vision rio xcite</t>
        </is>
      </c>
      <c r="D19" t="inlineStr">
        <is>
          <t>kbs</t>
        </is>
      </c>
      <c r="E19" t="inlineStr">
        <is>
          <t>rodamiento</t>
        </is>
      </c>
      <c r="F19" t="inlineStr">
        <is>
          <t>11d-a5</t>
        </is>
      </c>
      <c r="H19" s="4">
        <f>TEXT(A19,"MMMM") &amp; TEXT(A19,"yy")</f>
        <v/>
      </c>
      <c r="I19" s="5" t="n">
        <v>3</v>
      </c>
      <c r="O19" s="5">
        <f>IF(N19=1,SUMIF(I19,"&gt;0"),0)</f>
        <v/>
      </c>
      <c r="P19" s="5">
        <f>IF(N19=1,SUMIF(I19,"&lt;0")*-1,0)</f>
        <v/>
      </c>
      <c r="Q19" s="5">
        <f>IF(M19=1,SUMIF(I19,"&lt;0")*-1,0)</f>
        <v/>
      </c>
      <c r="R19" s="5">
        <f>IF(M19=1,SUMIF(I19,"&gt;0"),0)</f>
        <v/>
      </c>
      <c r="S19" s="5">
        <f>SUMIFS(I19,I19,"&lt;0",M19,"",N19,"")</f>
        <v/>
      </c>
      <c r="T19" s="3">
        <f>SUMIFS(I19,I19,"&gt;0",M19,"",N19,"")</f>
        <v/>
      </c>
      <c r="U19" s="5">
        <f>IFERROR((S19*W19)*-1,0)</f>
        <v/>
      </c>
      <c r="V19" s="5">
        <f>IFERROR(T19*W19,0)</f>
        <v/>
      </c>
      <c r="W19" s="5">
        <f>VLOOKUP(B19,productos!A:K,5,FALSE)</f>
        <v/>
      </c>
      <c r="X19" s="5">
        <f>VLOOKUP(B19,productos!A:K,4,FALSE)</f>
        <v/>
      </c>
    </row>
    <row r="20">
      <c r="A20" s="4" t="n">
        <v>45261</v>
      </c>
      <c r="B20" t="inlineStr">
        <is>
          <t>ABRABARR9</t>
        </is>
      </c>
      <c r="C20" t="inlineStr">
        <is>
          <t>abrazadera barra estabilizadora r9</t>
        </is>
      </c>
      <c r="D20" t="inlineStr">
        <is>
          <t>BOLSA SUELTO</t>
        </is>
      </c>
      <c r="E20" t="inlineStr">
        <is>
          <t>abrazadera barra estabilizadora</t>
        </is>
      </c>
      <c r="H20" s="4">
        <f>TEXT(A20,"MMMM") &amp; TEXT(A20,"yy")</f>
        <v/>
      </c>
      <c r="I20" s="5" t="n">
        <v>1</v>
      </c>
      <c r="O20" s="5">
        <f>IF(N20=1,SUMIF(I20,"&gt;0"),0)</f>
        <v/>
      </c>
      <c r="P20" s="5">
        <f>IF(N20=1,SUMIF(I20,"&lt;0")*-1,0)</f>
        <v/>
      </c>
      <c r="Q20" s="5">
        <f>IF(M20=1,SUMIF(I20,"&lt;0")*-1,0)</f>
        <v/>
      </c>
      <c r="R20" s="5">
        <f>IF(M20=1,SUMIF(I20,"&gt;0"),0)</f>
        <v/>
      </c>
      <c r="S20" s="5">
        <f>SUMIFS(I20,I20,"&lt;0",M20,"",N20,"")</f>
        <v/>
      </c>
      <c r="T20" s="3">
        <f>SUMIFS(I20,I20,"&gt;0",M20,"",N20,"")</f>
        <v/>
      </c>
      <c r="U20" s="5">
        <f>IFERROR((S20*W20)*-1,0)</f>
        <v/>
      </c>
      <c r="V20" s="5">
        <f>IFERROR(T20*W20,0)</f>
        <v/>
      </c>
      <c r="W20" s="5">
        <f>VLOOKUP(B20,productos!A:K,5,FALSE)</f>
        <v/>
      </c>
      <c r="X20" s="5">
        <f>VLOOKUP(B20,productos!A:K,4,FALSE)</f>
        <v/>
      </c>
    </row>
    <row r="21">
      <c r="A21" s="4" t="n">
        <v>45261</v>
      </c>
      <c r="B21" t="inlineStr">
        <is>
          <t>3/4abraza</t>
        </is>
      </c>
      <c r="C21" t="inlineStr">
        <is>
          <t>abrazadera metalica 3/4 pulgadas pequeña</t>
        </is>
      </c>
      <c r="D21" t="inlineStr">
        <is>
          <t>BOLSA TRANSPARENTE</t>
        </is>
      </c>
      <c r="E21" t="inlineStr">
        <is>
          <t>abrazadera metalica</t>
        </is>
      </c>
      <c r="H21" s="4">
        <f>TEXT(A21,"MMMM") &amp; TEXT(A21,"yy")</f>
        <v/>
      </c>
      <c r="I21" s="5" t="n">
        <v>23</v>
      </c>
      <c r="O21" s="5">
        <f>IF(N21=1,SUMIF(I21,"&gt;0"),0)</f>
        <v/>
      </c>
      <c r="P21" s="5">
        <f>IF(N21=1,SUMIF(I21,"&lt;0")*-1,0)</f>
        <v/>
      </c>
      <c r="Q21" s="5">
        <f>IF(M21=1,SUMIF(I21,"&lt;0")*-1,0)</f>
        <v/>
      </c>
      <c r="R21" s="5">
        <f>IF(M21=1,SUMIF(I21,"&gt;0"),0)</f>
        <v/>
      </c>
      <c r="S21" s="5">
        <f>SUMIFS(I21,I21,"&lt;0",M21,"",N21,"")</f>
        <v/>
      </c>
      <c r="T21" s="3">
        <f>SUMIFS(I21,I21,"&gt;0",M21,"",N21,"")</f>
        <v/>
      </c>
      <c r="U21" s="5">
        <f>IFERROR((S21*W21)*-1,0)</f>
        <v/>
      </c>
      <c r="V21" s="5">
        <f>IFERROR(T21*W21,0)</f>
        <v/>
      </c>
      <c r="W21" s="5">
        <f>VLOOKUP(B21,productos!A:K,5,FALSE)</f>
        <v/>
      </c>
      <c r="X21" s="5">
        <f>VLOOKUP(B21,productos!A:K,4,FALSE)</f>
        <v/>
      </c>
    </row>
    <row r="22">
      <c r="A22" s="4" t="n">
        <v>45261</v>
      </c>
      <c r="B22" t="inlineStr">
        <is>
          <t>abrametcom</t>
        </is>
      </c>
      <c r="C22" t="inlineStr">
        <is>
          <t>abrazadera metalica comun que mas hay</t>
        </is>
      </c>
      <c r="D22" t="inlineStr">
        <is>
          <t>suelta</t>
        </is>
      </c>
      <c r="E22" t="inlineStr">
        <is>
          <t>abrazadera metalica</t>
        </is>
      </c>
      <c r="H22" s="4">
        <f>TEXT(A22,"MMMM") &amp; TEXT(A22,"yy")</f>
        <v/>
      </c>
      <c r="I22" s="5" t="n">
        <v>2</v>
      </c>
      <c r="O22" s="5">
        <f>IF(N22=1,SUMIF(I22,"&gt;0"),0)</f>
        <v/>
      </c>
      <c r="P22" s="5">
        <f>IF(N22=1,SUMIF(I22,"&lt;0")*-1,0)</f>
        <v/>
      </c>
      <c r="Q22" s="5">
        <f>IF(M22=1,SUMIF(I22,"&lt;0")*-1,0)</f>
        <v/>
      </c>
      <c r="R22" s="5">
        <f>IF(M22=1,SUMIF(I22,"&gt;0"),0)</f>
        <v/>
      </c>
      <c r="S22" s="5">
        <f>SUMIFS(I22,I22,"&lt;0",M22,"",N22,"")</f>
        <v/>
      </c>
      <c r="T22" s="3">
        <f>SUMIFS(I22,I22,"&gt;0",M22,"",N22,"")</f>
        <v/>
      </c>
      <c r="U22" s="5">
        <f>IFERROR((S22*W22)*-1,0)</f>
        <v/>
      </c>
      <c r="V22" s="5">
        <f>IFERROR(T22*W22,0)</f>
        <v/>
      </c>
      <c r="W22" s="5">
        <f>VLOOKUP(B22,productos!A:K,5,FALSE)</f>
        <v/>
      </c>
      <c r="X22" s="5">
        <f>VLOOKUP(B22,productos!A:K,4,FALSE)</f>
        <v/>
      </c>
    </row>
    <row r="23">
      <c r="A23" s="4" t="n">
        <v>45261</v>
      </c>
      <c r="B23" t="inlineStr">
        <is>
          <t>abra1004</t>
        </is>
      </c>
      <c r="C23" t="inlineStr">
        <is>
          <t>abrazaderametalica titan para manguera 3/8 pulgadas.   min 5/16''  max  5/8''</t>
        </is>
      </c>
      <c r="D23" t="inlineStr">
        <is>
          <t>titan bolsa</t>
        </is>
      </c>
      <c r="E23" t="inlineStr">
        <is>
          <t>abrazadera metalica</t>
        </is>
      </c>
      <c r="H23" s="4">
        <f>TEXT(A23,"MMMM") &amp; TEXT(A23,"yy")</f>
        <v/>
      </c>
      <c r="I23" s="5" t="n">
        <v>3</v>
      </c>
      <c r="O23" s="5">
        <f>IF(N23=1,SUMIF(I23,"&gt;0"),0)</f>
        <v/>
      </c>
      <c r="P23" s="5">
        <f>IF(N23=1,SUMIF(I23,"&lt;0")*-1,0)</f>
        <v/>
      </c>
      <c r="Q23" s="5">
        <f>IF(M23=1,SUMIF(I23,"&lt;0")*-1,0)</f>
        <v/>
      </c>
      <c r="R23" s="5">
        <f>IF(M23=1,SUMIF(I23,"&gt;0"),0)</f>
        <v/>
      </c>
      <c r="S23" s="5">
        <f>SUMIFS(I23,I23,"&lt;0",M23,"",N23,"")</f>
        <v/>
      </c>
      <c r="T23" s="3">
        <f>SUMIFS(I23,I23,"&gt;0",M23,"",N23,"")</f>
        <v/>
      </c>
      <c r="U23" s="5">
        <f>IFERROR((S23*W23)*-1,0)</f>
        <v/>
      </c>
      <c r="V23" s="5">
        <f>IFERROR(T23*W23,0)</f>
        <v/>
      </c>
      <c r="W23" s="5">
        <f>VLOOKUP(B23,productos!A:K,5,FALSE)</f>
        <v/>
      </c>
      <c r="X23" s="5">
        <f>VLOOKUP(B23,productos!A:K,4,FALSE)</f>
        <v/>
      </c>
    </row>
    <row r="24">
      <c r="A24" s="4" t="n">
        <v>45261</v>
      </c>
      <c r="B24" t="inlineStr">
        <is>
          <t>abra1006</t>
        </is>
      </c>
      <c r="C24" t="inlineStr">
        <is>
          <t>abrazdadera metalica titan para manguera 1/2 pulgada min 7/16'' max 25/32''</t>
        </is>
      </c>
      <c r="D24" t="inlineStr">
        <is>
          <t>titan bolsa</t>
        </is>
      </c>
      <c r="E24" t="inlineStr">
        <is>
          <t>abrazadera metalica</t>
        </is>
      </c>
      <c r="H24" s="4">
        <f>TEXT(A24,"MMMM") &amp; TEXT(A24,"yy")</f>
        <v/>
      </c>
      <c r="I24" s="5" t="n">
        <v>1</v>
      </c>
      <c r="O24" s="5">
        <f>IF(N24=1,SUMIF(I24,"&gt;0"),0)</f>
        <v/>
      </c>
      <c r="P24" s="5">
        <f>IF(N24=1,SUMIF(I24,"&lt;0")*-1,0)</f>
        <v/>
      </c>
      <c r="Q24" s="5">
        <f>IF(M24=1,SUMIF(I24,"&lt;0")*-1,0)</f>
        <v/>
      </c>
      <c r="R24" s="5">
        <f>IF(M24=1,SUMIF(I24,"&gt;0"),0)</f>
        <v/>
      </c>
      <c r="S24" s="5">
        <f>SUMIFS(I24,I24,"&lt;0",M24,"",N24,"")</f>
        <v/>
      </c>
      <c r="T24" s="3">
        <f>SUMIFS(I24,I24,"&gt;0",M24,"",N24,"")</f>
        <v/>
      </c>
      <c r="U24" s="5">
        <f>IFERROR((S24*W24)*-1,0)</f>
        <v/>
      </c>
      <c r="V24" s="5">
        <f>IFERROR(T24*W24,0)</f>
        <v/>
      </c>
      <c r="W24" s="5">
        <f>VLOOKUP(B24,productos!A:K,5,FALSE)</f>
        <v/>
      </c>
      <c r="X24" s="5">
        <f>VLOOKUP(B24,productos!A:K,4,FALSE)</f>
        <v/>
      </c>
    </row>
    <row r="25">
      <c r="A25" s="4" t="n">
        <v>45261</v>
      </c>
      <c r="B25" t="inlineStr">
        <is>
          <t>abra4028</t>
        </is>
      </c>
      <c r="C25" t="inlineStr">
        <is>
          <t>abrazadera metalica titan  min 1*1/4''  max 2''</t>
        </is>
      </c>
      <c r="D25" t="inlineStr">
        <is>
          <t>titan bolsa</t>
        </is>
      </c>
      <c r="E25" t="inlineStr">
        <is>
          <t>abrazadera metalica</t>
        </is>
      </c>
      <c r="H25" s="4">
        <f>TEXT(A25,"MMMM") &amp; TEXT(A25,"yy")</f>
        <v/>
      </c>
      <c r="I25" s="5" t="n">
        <v>2</v>
      </c>
      <c r="O25" s="5">
        <f>IF(N25=1,SUMIF(I25,"&gt;0"),0)</f>
        <v/>
      </c>
      <c r="P25" s="5">
        <f>IF(N25=1,SUMIF(I25,"&lt;0")*-1,0)</f>
        <v/>
      </c>
      <c r="Q25" s="5">
        <f>IF(M25=1,SUMIF(I25,"&lt;0")*-1,0)</f>
        <v/>
      </c>
      <c r="R25" s="5">
        <f>IF(M25=1,SUMIF(I25,"&gt;0"),0)</f>
        <v/>
      </c>
      <c r="S25" s="5">
        <f>SUMIFS(I25,I25,"&lt;0",M25,"",N25,"")</f>
        <v/>
      </c>
      <c r="T25" s="3">
        <f>SUMIFS(I25,I25,"&gt;0",M25,"",N25,"")</f>
        <v/>
      </c>
      <c r="U25" s="5">
        <f>IFERROR((S25*W25)*-1,0)</f>
        <v/>
      </c>
      <c r="V25" s="5">
        <f>IFERROR(T25*W25,0)</f>
        <v/>
      </c>
      <c r="W25" s="5">
        <f>VLOOKUP(B25,productos!A:K,5,FALSE)</f>
        <v/>
      </c>
      <c r="X25" s="5">
        <f>VLOOKUP(B25,productos!A:K,4,FALSE)</f>
        <v/>
      </c>
    </row>
    <row r="26">
      <c r="A26" s="4" t="n">
        <v>45261</v>
      </c>
      <c r="B26" t="inlineStr">
        <is>
          <t>abra4016</t>
        </is>
      </c>
      <c r="C26" t="inlineStr">
        <is>
          <t>abrazadera metalica  titan min 23 max 35 mm</t>
        </is>
      </c>
      <c r="D26" t="inlineStr">
        <is>
          <t>titan bolsa</t>
        </is>
      </c>
      <c r="E26" t="inlineStr">
        <is>
          <t>abrazadera metalica</t>
        </is>
      </c>
      <c r="H26" s="4">
        <f>TEXT(A26,"MMMM") &amp; TEXT(A26,"yy")</f>
        <v/>
      </c>
      <c r="I26" s="5" t="n">
        <v>34</v>
      </c>
      <c r="O26" s="5">
        <f>IF(N26=1,SUMIF(I26,"&gt;0"),0)</f>
        <v/>
      </c>
      <c r="P26" s="5">
        <f>IF(N26=1,SUMIF(I26,"&lt;0")*-1,0)</f>
        <v/>
      </c>
      <c r="Q26" s="5">
        <f>IF(M26=1,SUMIF(I26,"&lt;0")*-1,0)</f>
        <v/>
      </c>
      <c r="R26" s="5">
        <f>IF(M26=1,SUMIF(I26,"&gt;0"),0)</f>
        <v/>
      </c>
      <c r="S26" s="5">
        <f>SUMIFS(I26,I26,"&lt;0",M26,"",N26,"")</f>
        <v/>
      </c>
      <c r="T26" s="3">
        <f>SUMIFS(I26,I26,"&gt;0",M26,"",N26,"")</f>
        <v/>
      </c>
      <c r="U26" s="5">
        <f>IFERROR((S26*W26)*-1,0)</f>
        <v/>
      </c>
      <c r="V26" s="5">
        <f>IFERROR(T26*W26,0)</f>
        <v/>
      </c>
      <c r="W26" s="5">
        <f>VLOOKUP(B26,productos!A:K,5,FALSE)</f>
        <v/>
      </c>
      <c r="X26" s="5">
        <f>VLOOKUP(B26,productos!A:K,4,FALSE)</f>
        <v/>
      </c>
    </row>
    <row r="27">
      <c r="A27" s="4" t="n">
        <v>45261</v>
      </c>
      <c r="B27" t="inlineStr">
        <is>
          <t>MK-131-N</t>
        </is>
      </c>
      <c r="C27" t="inlineStr">
        <is>
          <t>abrazadera larga y ancha plástica  7,2*500  mm</t>
        </is>
      </c>
      <c r="D27" t="inlineStr">
        <is>
          <t>MAK</t>
        </is>
      </c>
      <c r="E27" t="inlineStr">
        <is>
          <t>abrazaderas</t>
        </is>
      </c>
      <c r="H27" s="4">
        <f>TEXT(A27,"MMMM") &amp; TEXT(A27,"yy")</f>
        <v/>
      </c>
      <c r="I27" s="5" t="n">
        <v>4</v>
      </c>
      <c r="O27" s="5">
        <f>IF(N27=1,SUMIF(I27,"&gt;0"),0)</f>
        <v/>
      </c>
      <c r="P27" s="5">
        <f>IF(N27=1,SUMIF(I27,"&lt;0")*-1,0)</f>
        <v/>
      </c>
      <c r="Q27" s="5">
        <f>IF(M27=1,SUMIF(I27,"&lt;0")*-1,0)</f>
        <v/>
      </c>
      <c r="R27" s="5">
        <f>IF(M27=1,SUMIF(I27,"&gt;0"),0)</f>
        <v/>
      </c>
      <c r="S27" s="5">
        <f>SUMIFS(I27,I27,"&lt;0",M27,"",N27,"")</f>
        <v/>
      </c>
      <c r="T27" s="3">
        <f>SUMIFS(I27,I27,"&gt;0",M27,"",N27,"")</f>
        <v/>
      </c>
      <c r="U27" s="5">
        <f>IFERROR((S27*W27)*-1,0)</f>
        <v/>
      </c>
      <c r="V27" s="5">
        <f>IFERROR(T27*W27,0)</f>
        <v/>
      </c>
      <c r="W27" s="5">
        <f>VLOOKUP(B27,productos!A:K,5,FALSE)</f>
        <v/>
      </c>
      <c r="X27" s="5">
        <f>VLOOKUP(B27,productos!A:K,4,FALSE)</f>
        <v/>
      </c>
    </row>
    <row r="28">
      <c r="A28" s="4" t="n">
        <v>45261</v>
      </c>
      <c r="B28" t="inlineStr">
        <is>
          <t>mk-125-n</t>
        </is>
      </c>
      <c r="C28" t="inlineStr">
        <is>
          <t>abrazadera plastica mediana de 4,8* 300mm</t>
        </is>
      </c>
      <c r="D28" t="inlineStr">
        <is>
          <t>mak</t>
        </is>
      </c>
      <c r="E28" t="inlineStr">
        <is>
          <t>abrazaderas</t>
        </is>
      </c>
      <c r="H28" s="4">
        <f>TEXT(A28,"MMMM") &amp; TEXT(A28,"yy")</f>
        <v/>
      </c>
      <c r="I28" s="5" t="n">
        <v>3</v>
      </c>
      <c r="O28" s="5">
        <f>IF(N28=1,SUMIF(I28,"&gt;0"),0)</f>
        <v/>
      </c>
      <c r="P28" s="5">
        <f>IF(N28=1,SUMIF(I28,"&lt;0")*-1,0)</f>
        <v/>
      </c>
      <c r="Q28" s="5">
        <f>IF(M28=1,SUMIF(I28,"&lt;0")*-1,0)</f>
        <v/>
      </c>
      <c r="R28" s="5">
        <f>IF(M28=1,SUMIF(I28,"&gt;0"),0)</f>
        <v/>
      </c>
      <c r="S28" s="5">
        <f>SUMIFS(I28,I28,"&lt;0",M28,"",N28,"")</f>
        <v/>
      </c>
      <c r="T28" s="3">
        <f>SUMIFS(I28,I28,"&gt;0",M28,"",N28,"")</f>
        <v/>
      </c>
      <c r="U28" s="5">
        <f>IFERROR((S28*W28)*-1,0)</f>
        <v/>
      </c>
      <c r="V28" s="5">
        <f>IFERROR(T28*W28,0)</f>
        <v/>
      </c>
      <c r="W28" s="5">
        <f>VLOOKUP(B28,productos!A:K,5,FALSE)</f>
        <v/>
      </c>
      <c r="X28" s="5">
        <f>VLOOKUP(B28,productos!A:K,4,FALSE)</f>
        <v/>
      </c>
    </row>
    <row r="29">
      <c r="A29" s="4" t="n">
        <v>45261</v>
      </c>
      <c r="B29" t="inlineStr">
        <is>
          <t>mk-127-n</t>
        </is>
      </c>
      <c r="C29" t="inlineStr">
        <is>
          <t xml:space="preserve">abrazadea plastico 4,8*400mm </t>
        </is>
      </c>
      <c r="D29" t="inlineStr">
        <is>
          <t>mak</t>
        </is>
      </c>
      <c r="E29" t="inlineStr">
        <is>
          <t>abrazaderas</t>
        </is>
      </c>
      <c r="H29" s="4">
        <f>TEXT(A29,"MMMM") &amp; TEXT(A29,"yy")</f>
        <v/>
      </c>
      <c r="I29" s="5" t="n">
        <v>2</v>
      </c>
      <c r="O29" s="5">
        <f>IF(N29=1,SUMIF(I29,"&gt;0"),0)</f>
        <v/>
      </c>
      <c r="P29" s="5">
        <f>IF(N29=1,SUMIF(I29,"&lt;0")*-1,0)</f>
        <v/>
      </c>
      <c r="Q29" s="5">
        <f>IF(M29=1,SUMIF(I29,"&lt;0")*-1,0)</f>
        <v/>
      </c>
      <c r="R29" s="5">
        <f>IF(M29=1,SUMIF(I29,"&gt;0"),0)</f>
        <v/>
      </c>
      <c r="S29" s="5">
        <f>SUMIFS(I29,I29,"&lt;0",M29,"",N29,"")</f>
        <v/>
      </c>
      <c r="T29" s="3">
        <f>SUMIFS(I29,I29,"&gt;0",M29,"",N29,"")</f>
        <v/>
      </c>
      <c r="U29" s="5">
        <f>IFERROR((S29*W29)*-1,0)</f>
        <v/>
      </c>
      <c r="V29" s="5">
        <f>IFERROR(T29*W29,0)</f>
        <v/>
      </c>
      <c r="W29" s="5">
        <f>VLOOKUP(B29,productos!A:K,5,FALSE)</f>
        <v/>
      </c>
      <c r="X29" s="5">
        <f>VLOOKUP(B29,productos!A:K,4,FALSE)</f>
        <v/>
      </c>
    </row>
    <row r="30">
      <c r="A30" s="4" t="n">
        <v>45261</v>
      </c>
      <c r="B30" t="inlineStr">
        <is>
          <t>mk-129-n</t>
        </is>
      </c>
      <c r="C30" t="inlineStr">
        <is>
          <t>abrazadera plastica 4,8*200  pequeña</t>
        </is>
      </c>
      <c r="D30" t="inlineStr">
        <is>
          <t>MAK</t>
        </is>
      </c>
      <c r="E30" t="inlineStr">
        <is>
          <t>abrazaderas</t>
        </is>
      </c>
      <c r="H30" s="4">
        <f>TEXT(A30,"MMMM") &amp; TEXT(A30,"yy")</f>
        <v/>
      </c>
      <c r="I30" s="5" t="n">
        <v>2</v>
      </c>
      <c r="O30" s="5">
        <f>IF(N30=1,SUMIF(I30,"&gt;0"),0)</f>
        <v/>
      </c>
      <c r="P30" s="5">
        <f>IF(N30=1,SUMIF(I30,"&lt;0")*-1,0)</f>
        <v/>
      </c>
      <c r="Q30" s="5">
        <f>IF(M30=1,SUMIF(I30,"&lt;0")*-1,0)</f>
        <v/>
      </c>
      <c r="R30" s="5">
        <f>IF(M30=1,SUMIF(I30,"&gt;0"),0)</f>
        <v/>
      </c>
      <c r="S30" s="5">
        <f>SUMIFS(I30,I30,"&lt;0",M30,"",N30,"")</f>
        <v/>
      </c>
      <c r="T30" s="3">
        <f>SUMIFS(I30,I30,"&gt;0",M30,"",N30,"")</f>
        <v/>
      </c>
      <c r="U30" s="5">
        <f>IFERROR((S30*W30)*-1,0)</f>
        <v/>
      </c>
      <c r="V30" s="5">
        <f>IFERROR(T30*W30,0)</f>
        <v/>
      </c>
      <c r="W30" s="5">
        <f>VLOOKUP(B30,productos!A:K,5,FALSE)</f>
        <v/>
      </c>
      <c r="X30" s="5">
        <f>VLOOKUP(B30,productos!A:K,4,FALSE)</f>
        <v/>
      </c>
    </row>
    <row r="31">
      <c r="A31" s="4" t="n">
        <v>45261</v>
      </c>
      <c r="B31" t="inlineStr">
        <is>
          <t>5W-30</t>
        </is>
      </c>
      <c r="C31" t="inlineStr">
        <is>
          <t>aceite  1/4 mobil super 5w-30 3000</t>
        </is>
      </c>
      <c r="D31" t="inlineStr">
        <is>
          <t>MOBIL</t>
        </is>
      </c>
      <c r="E31" t="inlineStr">
        <is>
          <t>aceite</t>
        </is>
      </c>
      <c r="H31" s="4">
        <f>TEXT(A31,"MMMM") &amp; TEXT(A31,"yy")</f>
        <v/>
      </c>
      <c r="I31" s="5" t="n">
        <v>3</v>
      </c>
      <c r="O31" s="5">
        <f>IF(N31=1,SUMIF(I31,"&gt;0"),0)</f>
        <v/>
      </c>
      <c r="P31" s="5">
        <f>IF(N31=1,SUMIF(I31,"&lt;0")*-1,0)</f>
        <v/>
      </c>
      <c r="Q31" s="5">
        <f>IF(M31=1,SUMIF(I31,"&lt;0")*-1,0)</f>
        <v/>
      </c>
      <c r="R31" s="5">
        <f>IF(M31=1,SUMIF(I31,"&gt;0"),0)</f>
        <v/>
      </c>
      <c r="S31" s="5">
        <f>SUMIFS(I31,I31,"&lt;0",M31,"",N31,"")</f>
        <v/>
      </c>
      <c r="T31" s="3">
        <f>SUMIFS(I31,I31,"&gt;0",M31,"",N31,"")</f>
        <v/>
      </c>
      <c r="U31" s="5">
        <f>IFERROR((S31*W31)*-1,0)</f>
        <v/>
      </c>
      <c r="V31" s="5">
        <f>IFERROR(T31*W31,0)</f>
        <v/>
      </c>
      <c r="W31" s="5">
        <f>VLOOKUP(B31,productos!A:K,5,FALSE)</f>
        <v/>
      </c>
      <c r="X31" s="5">
        <f>VLOOKUP(B31,productos!A:K,4,FALSE)</f>
        <v/>
      </c>
    </row>
    <row r="32">
      <c r="A32" s="4" t="n">
        <v>45261</v>
      </c>
      <c r="B32" t="inlineStr">
        <is>
          <t>5W-40</t>
        </is>
      </c>
      <c r="C32" t="inlineStr">
        <is>
          <t>aceite 1/4 5w-40</t>
        </is>
      </c>
      <c r="D32" t="inlineStr">
        <is>
          <t>MOBIL</t>
        </is>
      </c>
      <c r="E32" t="inlineStr">
        <is>
          <t>aceite</t>
        </is>
      </c>
      <c r="H32" s="4">
        <f>TEXT(A32,"MMMM") &amp; TEXT(A32,"yy")</f>
        <v/>
      </c>
      <c r="I32" s="5" t="n">
        <v>45</v>
      </c>
      <c r="O32" s="5">
        <f>IF(N32=1,SUMIF(I32,"&gt;0"),0)</f>
        <v/>
      </c>
      <c r="P32" s="5">
        <f>IF(N32=1,SUMIF(I32,"&lt;0")*-1,0)</f>
        <v/>
      </c>
      <c r="Q32" s="5">
        <f>IF(M32=1,SUMIF(I32,"&lt;0")*-1,0)</f>
        <v/>
      </c>
      <c r="R32" s="5">
        <f>IF(M32=1,SUMIF(I32,"&gt;0"),0)</f>
        <v/>
      </c>
      <c r="S32" s="5">
        <f>SUMIFS(I32,I32,"&lt;0",M32,"",N32,"")</f>
        <v/>
      </c>
      <c r="T32" s="3">
        <f>SUMIFS(I32,I32,"&gt;0",M32,"",N32,"")</f>
        <v/>
      </c>
      <c r="U32" s="5">
        <f>IFERROR((S32*W32)*-1,0)</f>
        <v/>
      </c>
      <c r="V32" s="5">
        <f>IFERROR(T32*W32,0)</f>
        <v/>
      </c>
      <c r="W32" s="5">
        <f>VLOOKUP(B32,productos!A:K,5,FALSE)</f>
        <v/>
      </c>
      <c r="X32" s="5">
        <f>VLOOKUP(B32,productos!A:K,4,FALSE)</f>
        <v/>
      </c>
    </row>
    <row r="33">
      <c r="A33" s="4" t="n">
        <v>45261</v>
      </c>
      <c r="B33" t="inlineStr">
        <is>
          <t>ACEGRANG</t>
        </is>
      </c>
      <c r="C33" t="inlineStr">
        <is>
          <t>galon aceite granel (se consume 2,5 cm de altura)</t>
        </is>
      </c>
      <c r="D33" t="inlineStr">
        <is>
          <t>GRANEL</t>
        </is>
      </c>
      <c r="E33" t="inlineStr">
        <is>
          <t>aceite</t>
        </is>
      </c>
      <c r="H33" s="4">
        <f>TEXT(A33,"MMMM") &amp; TEXT(A33,"yy")</f>
        <v/>
      </c>
      <c r="I33" s="5" t="n">
        <v>6</v>
      </c>
      <c r="O33" s="5">
        <f>IF(N33=1,SUMIF(I33,"&gt;0"),0)</f>
        <v/>
      </c>
      <c r="P33" s="5">
        <f>IF(N33=1,SUMIF(I33,"&lt;0")*-1,0)</f>
        <v/>
      </c>
      <c r="Q33" s="5">
        <f>IF(M33=1,SUMIF(I33,"&lt;0")*-1,0)</f>
        <v/>
      </c>
      <c r="R33" s="5">
        <f>IF(M33=1,SUMIF(I33,"&gt;0"),0)</f>
        <v/>
      </c>
      <c r="S33" s="5">
        <f>SUMIFS(I33,I33,"&lt;0",M33,"",N33,"")</f>
        <v/>
      </c>
      <c r="T33" s="3">
        <f>SUMIFS(I33,I33,"&gt;0",M33,"",N33,"")</f>
        <v/>
      </c>
      <c r="U33" s="5">
        <f>IFERROR((S33*W33)*-1,0)</f>
        <v/>
      </c>
      <c r="V33" s="5">
        <f>IFERROR(T33*W33,0)</f>
        <v/>
      </c>
      <c r="W33" s="5">
        <f>VLOOKUP(B33,productos!A:K,5,FALSE)</f>
        <v/>
      </c>
      <c r="X33" s="5">
        <f>VLOOKUP(B33,productos!A:K,4,FALSE)</f>
        <v/>
      </c>
    </row>
    <row r="34">
      <c r="A34" s="4" t="n">
        <v>45261</v>
      </c>
      <c r="B34" t="inlineStr">
        <is>
          <t>10W302</t>
        </is>
      </c>
      <c r="C34" t="inlineStr">
        <is>
          <t>galon aceite mobil super 2000 10w-30</t>
        </is>
      </c>
      <c r="D34" t="inlineStr">
        <is>
          <t>MOBIL</t>
        </is>
      </c>
      <c r="E34" t="inlineStr">
        <is>
          <t>aceite</t>
        </is>
      </c>
      <c r="H34" s="4">
        <f>TEXT(A34,"MMMM") &amp; TEXT(A34,"yy")</f>
        <v/>
      </c>
      <c r="I34" s="5" t="n">
        <v>3</v>
      </c>
      <c r="O34" s="5">
        <f>IF(N34=1,SUMIF(I34,"&gt;0"),0)</f>
        <v/>
      </c>
      <c r="P34" s="5">
        <f>IF(N34=1,SUMIF(I34,"&lt;0")*-1,0)</f>
        <v/>
      </c>
      <c r="Q34" s="5">
        <f>IF(M34=1,SUMIF(I34,"&lt;0")*-1,0)</f>
        <v/>
      </c>
      <c r="R34" s="5">
        <f>IF(M34=1,SUMIF(I34,"&gt;0"),0)</f>
        <v/>
      </c>
      <c r="S34" s="5">
        <f>SUMIFS(I34,I34,"&lt;0",M34,"",N34,"")</f>
        <v/>
      </c>
      <c r="T34" s="3">
        <f>SUMIFS(I34,I34,"&gt;0",M34,"",N34,"")</f>
        <v/>
      </c>
      <c r="U34" s="5">
        <f>IFERROR((S34*W34)*-1,0)</f>
        <v/>
      </c>
      <c r="V34" s="5">
        <f>IFERROR(T34*W34,0)</f>
        <v/>
      </c>
      <c r="W34" s="5">
        <f>VLOOKUP(B34,productos!A:K,5,FALSE)</f>
        <v/>
      </c>
      <c r="X34" s="5">
        <f>VLOOKUP(B34,productos!A:K,4,FALSE)</f>
        <v/>
      </c>
    </row>
    <row r="35">
      <c r="A35" s="4" t="n">
        <v>45261</v>
      </c>
      <c r="B35" t="inlineStr">
        <is>
          <t>ACEGRANC</t>
        </is>
      </c>
      <c r="C35" t="inlineStr">
        <is>
          <t>1/4 aceite a granel   (consume 0,6 cm de altura)</t>
        </is>
      </c>
      <c r="D35" t="inlineStr">
        <is>
          <t>GRANEL</t>
        </is>
      </c>
      <c r="E35" t="inlineStr">
        <is>
          <t>aceite</t>
        </is>
      </c>
      <c r="H35" s="4">
        <f>TEXT(A35,"MMMM") &amp; TEXT(A35,"yy")</f>
        <v/>
      </c>
      <c r="I35" s="5" t="n">
        <v>2</v>
      </c>
      <c r="O35" s="5">
        <f>IF(N35=1,SUMIF(I35,"&gt;0"),0)</f>
        <v/>
      </c>
      <c r="P35" s="5">
        <f>IF(N35=1,SUMIF(I35,"&lt;0")*-1,0)</f>
        <v/>
      </c>
      <c r="Q35" s="5">
        <f>IF(M35=1,SUMIF(I35,"&lt;0")*-1,0)</f>
        <v/>
      </c>
      <c r="R35" s="5">
        <f>IF(M35=1,SUMIF(I35,"&gt;0"),0)</f>
        <v/>
      </c>
      <c r="S35" s="5">
        <f>SUMIFS(I35,I35,"&lt;0",M35,"",N35,"")</f>
        <v/>
      </c>
      <c r="T35" s="3">
        <f>SUMIFS(I35,I35,"&gt;0",M35,"",N35,"")</f>
        <v/>
      </c>
      <c r="U35" s="5">
        <f>IFERROR((S35*W35)*-1,0)</f>
        <v/>
      </c>
      <c r="V35" s="5">
        <f>IFERROR(T35*W35,0)</f>
        <v/>
      </c>
      <c r="W35" s="5">
        <f>VLOOKUP(B35,productos!A:K,5,FALSE)</f>
        <v/>
      </c>
      <c r="X35" s="5">
        <f>VLOOKUP(B35,productos!A:K,4,FALSE)</f>
        <v/>
      </c>
    </row>
    <row r="36">
      <c r="A36" s="4" t="n">
        <v>45261</v>
      </c>
      <c r="B36" t="inlineStr">
        <is>
          <t>20W-50M</t>
        </is>
      </c>
      <c r="C36" t="inlineStr">
        <is>
          <t>aceite  1/4 mobil super 20w-50 1000</t>
        </is>
      </c>
      <c r="D36" t="inlineStr">
        <is>
          <t>MOBIL</t>
        </is>
      </c>
      <c r="E36" t="inlineStr">
        <is>
          <t>aceite</t>
        </is>
      </c>
      <c r="H36" s="4">
        <f>TEXT(A36,"MMMM") &amp; TEXT(A36,"yy")</f>
        <v/>
      </c>
      <c r="I36" s="5" t="n">
        <v>3</v>
      </c>
      <c r="O36" s="5">
        <f>IF(N36=1,SUMIF(I36,"&gt;0"),0)</f>
        <v/>
      </c>
      <c r="P36" s="5">
        <f>IF(N36=1,SUMIF(I36,"&lt;0")*-1,0)</f>
        <v/>
      </c>
      <c r="Q36" s="5">
        <f>IF(M36=1,SUMIF(I36,"&lt;0")*-1,0)</f>
        <v/>
      </c>
      <c r="R36" s="5">
        <f>IF(M36=1,SUMIF(I36,"&gt;0"),0)</f>
        <v/>
      </c>
      <c r="S36" s="5">
        <f>SUMIFS(I36,I36,"&lt;0",M36,"",N36,"")</f>
        <v/>
      </c>
      <c r="T36" s="3">
        <f>SUMIFS(I36,I36,"&gt;0",M36,"",N36,"")</f>
        <v/>
      </c>
      <c r="U36" s="5">
        <f>IFERROR((S36*W36)*-1,0)</f>
        <v/>
      </c>
      <c r="V36" s="5">
        <f>IFERROR(T36*W36,0)</f>
        <v/>
      </c>
      <c r="W36" s="5">
        <f>VLOOKUP(B36,productos!A:K,5,FALSE)</f>
        <v/>
      </c>
      <c r="X36" s="5">
        <f>VLOOKUP(B36,productos!A:K,4,FALSE)</f>
        <v/>
      </c>
    </row>
    <row r="37">
      <c r="A37" s="4" t="n">
        <v>45261</v>
      </c>
      <c r="B37" t="inlineStr">
        <is>
          <t>SAE50M</t>
        </is>
      </c>
      <c r="C37" t="inlineStr">
        <is>
          <t xml:space="preserve">aceite  1/4 sae 50 mobil special hd </t>
        </is>
      </c>
      <c r="D37" t="inlineStr">
        <is>
          <t>MOBIL</t>
        </is>
      </c>
      <c r="E37" t="inlineStr">
        <is>
          <t>aceite</t>
        </is>
      </c>
      <c r="H37" s="4">
        <f>TEXT(A37,"MMMM") &amp; TEXT(A37,"yy")</f>
        <v/>
      </c>
      <c r="I37" s="5" t="n">
        <v>4</v>
      </c>
      <c r="O37" s="5">
        <f>IF(N37=1,SUMIF(I37,"&gt;0"),0)</f>
        <v/>
      </c>
      <c r="P37" s="5">
        <f>IF(N37=1,SUMIF(I37,"&lt;0")*-1,0)</f>
        <v/>
      </c>
      <c r="Q37" s="5">
        <f>IF(M37=1,SUMIF(I37,"&lt;0")*-1,0)</f>
        <v/>
      </c>
      <c r="R37" s="5">
        <f>IF(M37=1,SUMIF(I37,"&gt;0"),0)</f>
        <v/>
      </c>
      <c r="S37" s="5">
        <f>SUMIFS(I37,I37,"&lt;0",M37,"",N37,"")</f>
        <v/>
      </c>
      <c r="T37" s="3">
        <f>SUMIFS(I37,I37,"&gt;0",M37,"",N37,"")</f>
        <v/>
      </c>
      <c r="U37" s="5">
        <f>IFERROR((S37*W37)*-1,0)</f>
        <v/>
      </c>
      <c r="V37" s="5">
        <f>IFERROR(T37*W37,0)</f>
        <v/>
      </c>
      <c r="W37" s="5">
        <f>VLOOKUP(B37,productos!A:K,5,FALSE)</f>
        <v/>
      </c>
      <c r="X37" s="5">
        <f>VLOOKUP(B37,productos!A:K,4,FALSE)</f>
        <v/>
      </c>
    </row>
    <row r="38">
      <c r="A38" s="4" t="n">
        <v>45261</v>
      </c>
      <c r="B38" t="inlineStr">
        <is>
          <t>10W30M</t>
        </is>
      </c>
      <c r="C38" t="inlineStr">
        <is>
          <t>aceite 1/4 mobil super 10w-30  2000</t>
        </is>
      </c>
      <c r="D38" t="inlineStr">
        <is>
          <t>MOBIL</t>
        </is>
      </c>
      <c r="E38" t="inlineStr">
        <is>
          <t>aceite</t>
        </is>
      </c>
      <c r="H38" s="4">
        <f>TEXT(A38,"MMMM") &amp; TEXT(A38,"yy")</f>
        <v/>
      </c>
      <c r="I38" s="5" t="n">
        <v>5</v>
      </c>
      <c r="O38" s="5">
        <f>IF(N38=1,SUMIF(I38,"&gt;0"),0)</f>
        <v/>
      </c>
      <c r="P38" s="5">
        <f>IF(N38=1,SUMIF(I38,"&lt;0")*-1,0)</f>
        <v/>
      </c>
      <c r="Q38" s="5">
        <f>IF(M38=1,SUMIF(I38,"&lt;0")*-1,0)</f>
        <v/>
      </c>
      <c r="R38" s="5">
        <f>IF(M38=1,SUMIF(I38,"&gt;0"),0)</f>
        <v/>
      </c>
      <c r="S38" s="5">
        <f>SUMIFS(I38,I38,"&lt;0",M38,"",N38,"")</f>
        <v/>
      </c>
      <c r="T38" s="3">
        <f>SUMIFS(I38,I38,"&gt;0",M38,"",N38,"")</f>
        <v/>
      </c>
      <c r="U38" s="5">
        <f>IFERROR((S38*W38)*-1,0)</f>
        <v/>
      </c>
      <c r="V38" s="5">
        <f>IFERROR(T38*W38,0)</f>
        <v/>
      </c>
      <c r="W38" s="5">
        <f>VLOOKUP(B38,productos!A:K,5,FALSE)</f>
        <v/>
      </c>
      <c r="X38" s="5">
        <f>VLOOKUP(B38,productos!A:K,4,FALSE)</f>
        <v/>
      </c>
    </row>
    <row r="39">
      <c r="A39" s="4" t="n">
        <v>45261</v>
      </c>
      <c r="B39" t="inlineStr">
        <is>
          <t>15W40D</t>
        </is>
      </c>
      <c r="C39" t="inlineStr">
        <is>
          <t>galon aceite mobil delvac mx esp 15w-40</t>
        </is>
      </c>
      <c r="D39" t="inlineStr">
        <is>
          <t>MOBIL</t>
        </is>
      </c>
      <c r="E39" t="inlineStr">
        <is>
          <t>aceite</t>
        </is>
      </c>
      <c r="H39" s="4">
        <f>TEXT(A39,"MMMM") &amp; TEXT(A39,"yy")</f>
        <v/>
      </c>
      <c r="I39" s="5" t="n">
        <v>3</v>
      </c>
      <c r="O39" s="5">
        <f>IF(N39=1,SUMIF(I39,"&gt;0"),0)</f>
        <v/>
      </c>
      <c r="P39" s="5">
        <f>IF(N39=1,SUMIF(I39,"&lt;0")*-1,0)</f>
        <v/>
      </c>
      <c r="Q39" s="5">
        <f>IF(M39=1,SUMIF(I39,"&lt;0")*-1,0)</f>
        <v/>
      </c>
      <c r="R39" s="5">
        <f>IF(M39=1,SUMIF(I39,"&gt;0"),0)</f>
        <v/>
      </c>
      <c r="S39" s="5">
        <f>SUMIFS(I39,I39,"&lt;0",M39,"",N39,"")</f>
        <v/>
      </c>
      <c r="T39" s="3">
        <f>SUMIFS(I39,I39,"&gt;0",M39,"",N39,"")</f>
        <v/>
      </c>
      <c r="U39" s="5">
        <f>IFERROR((S39*W39)*-1,0)</f>
        <v/>
      </c>
      <c r="V39" s="5">
        <f>IFERROR(T39*W39,0)</f>
        <v/>
      </c>
      <c r="W39" s="5">
        <f>VLOOKUP(B39,productos!A:K,5,FALSE)</f>
        <v/>
      </c>
      <c r="X39" s="5">
        <f>VLOOKUP(B39,productos!A:K,4,FALSE)</f>
        <v/>
      </c>
    </row>
    <row r="40">
      <c r="A40" s="4" t="n">
        <v>45261</v>
      </c>
      <c r="B40" t="inlineStr">
        <is>
          <t>SAE50GAL</t>
        </is>
      </c>
      <c r="C40" t="inlineStr">
        <is>
          <t>galon aceite mobil sae 50 special  hd</t>
        </is>
      </c>
      <c r="D40" t="inlineStr">
        <is>
          <t>MOBIL</t>
        </is>
      </c>
      <c r="E40" t="inlineStr">
        <is>
          <t>aceite</t>
        </is>
      </c>
      <c r="H40" s="4">
        <f>TEXT(A40,"MMMM") &amp; TEXT(A40,"yy")</f>
        <v/>
      </c>
      <c r="I40" s="5" t="n">
        <v>2</v>
      </c>
      <c r="O40" s="5">
        <f>IF(N40=1,SUMIF(I40,"&gt;0"),0)</f>
        <v/>
      </c>
      <c r="P40" s="5">
        <f>IF(N40=1,SUMIF(I40,"&lt;0")*-1,0)</f>
        <v/>
      </c>
      <c r="Q40" s="5">
        <f>IF(M40=1,SUMIF(I40,"&lt;0")*-1,0)</f>
        <v/>
      </c>
      <c r="R40" s="5">
        <f>IF(M40=1,SUMIF(I40,"&gt;0"),0)</f>
        <v/>
      </c>
      <c r="S40" s="5">
        <f>SUMIFS(I40,I40,"&lt;0",M40,"",N40,"")</f>
        <v/>
      </c>
      <c r="T40" s="3">
        <f>SUMIFS(I40,I40,"&gt;0",M40,"",N40,"")</f>
        <v/>
      </c>
      <c r="U40" s="5">
        <f>IFERROR((S40*W40)*-1,0)</f>
        <v/>
      </c>
      <c r="V40" s="5">
        <f>IFERROR(T40*W40,0)</f>
        <v/>
      </c>
      <c r="W40" s="5">
        <f>VLOOKUP(B40,productos!A:K,5,FALSE)</f>
        <v/>
      </c>
      <c r="X40" s="5">
        <f>VLOOKUP(B40,productos!A:K,4,FALSE)</f>
        <v/>
      </c>
    </row>
    <row r="41">
      <c r="A41" s="4" t="n">
        <v>45262</v>
      </c>
      <c r="B41" t="inlineStr">
        <is>
          <t>ACEGRANG</t>
        </is>
      </c>
      <c r="C41" t="inlineStr">
        <is>
          <t>galon aceite granel (se consume 2,5 cm de altura)</t>
        </is>
      </c>
      <c r="D41" t="inlineStr">
        <is>
          <t>GRANEL</t>
        </is>
      </c>
      <c r="E41" t="inlineStr">
        <is>
          <t>aceite</t>
        </is>
      </c>
      <c r="H41" s="4">
        <f>TEXT(A41,"MMMM") &amp; TEXT(A41,"yy")</f>
        <v/>
      </c>
      <c r="I41" s="5" t="n">
        <v>-2</v>
      </c>
      <c r="O41" s="5">
        <f>IF(N41=1,SUMIF(I41,"&gt;0"),0)</f>
        <v/>
      </c>
      <c r="P41" s="5">
        <f>IF(N41=1,SUMIF(I41,"&lt;0")*-1,0)</f>
        <v/>
      </c>
      <c r="Q41" s="5">
        <f>IF(M41=1,SUMIF(I41,"&lt;0")*-1,0)</f>
        <v/>
      </c>
      <c r="R41" s="5">
        <f>IF(M41=1,SUMIF(I41,"&gt;0"),0)</f>
        <v/>
      </c>
      <c r="S41" s="5">
        <f>SUMIFS(I41,I41,"&lt;0",M41,"",N41,"")</f>
        <v/>
      </c>
      <c r="T41" s="3">
        <f>SUMIFS(I41,I41,"&gt;0",M41,"",N41,"")</f>
        <v/>
      </c>
      <c r="U41" s="5">
        <f>IFERROR((S41*W41)*-1,0)</f>
        <v/>
      </c>
      <c r="V41" s="5">
        <f>IFERROR(T41*W41,0)</f>
        <v/>
      </c>
      <c r="W41" s="5">
        <f>VLOOKUP(B41,productos!A:K,5,FALSE)</f>
        <v/>
      </c>
      <c r="X41" s="5">
        <f>VLOOKUP(B41,productos!A:K,4,FALSE)</f>
        <v/>
      </c>
    </row>
    <row r="42">
      <c r="A42" s="4" t="n">
        <v>45262</v>
      </c>
      <c r="B42" t="inlineStr">
        <is>
          <t>10W302</t>
        </is>
      </c>
      <c r="C42" t="inlineStr">
        <is>
          <t>galon aceite mobil super 2000 10w-30</t>
        </is>
      </c>
      <c r="D42" t="inlineStr">
        <is>
          <t>MOBIL</t>
        </is>
      </c>
      <c r="E42" t="inlineStr">
        <is>
          <t>aceite</t>
        </is>
      </c>
      <c r="H42" s="4">
        <f>TEXT(A42,"MMMM") &amp; TEXT(A42,"yy")</f>
        <v/>
      </c>
      <c r="I42" s="5" t="n">
        <v>-1</v>
      </c>
      <c r="O42" s="5">
        <f>IF(N42=1,SUMIF(I42,"&gt;0"),0)</f>
        <v/>
      </c>
      <c r="P42" s="5">
        <f>IF(N42=1,SUMIF(I42,"&lt;0")*-1,0)</f>
        <v/>
      </c>
      <c r="Q42" s="5">
        <f>IF(M42=1,SUMIF(I42,"&lt;0")*-1,0)</f>
        <v/>
      </c>
      <c r="R42" s="5">
        <f>IF(M42=1,SUMIF(I42,"&gt;0"),0)</f>
        <v/>
      </c>
      <c r="S42" s="5">
        <f>SUMIFS(I42,I42,"&lt;0",M42,"",N42,"")</f>
        <v/>
      </c>
      <c r="T42" s="3">
        <f>SUMIFS(I42,I42,"&gt;0",M42,"",N42,"")</f>
        <v/>
      </c>
      <c r="U42" s="5">
        <f>IFERROR((S42*W42)*-1,0)</f>
        <v/>
      </c>
      <c r="V42" s="5">
        <f>IFERROR(T42*W42,0)</f>
        <v/>
      </c>
      <c r="W42" s="5">
        <f>VLOOKUP(B42,productos!A:K,5,FALSE)</f>
        <v/>
      </c>
      <c r="X42" s="5">
        <f>VLOOKUP(B42,productos!A:K,4,FALSE)</f>
        <v/>
      </c>
    </row>
    <row r="43">
      <c r="A43" s="4" t="n">
        <v>45262</v>
      </c>
      <c r="B43" t="inlineStr">
        <is>
          <t>ACEGRANC</t>
        </is>
      </c>
      <c r="C43" t="inlineStr">
        <is>
          <t>1/4 aceite a granel   (consume 0,6 cm de altura)</t>
        </is>
      </c>
      <c r="D43" t="inlineStr">
        <is>
          <t>GRANEL</t>
        </is>
      </c>
      <c r="E43" t="inlineStr">
        <is>
          <t>aceite</t>
        </is>
      </c>
      <c r="H43" s="4">
        <f>TEXT(A43,"MMMM") &amp; TEXT(A43,"yy")</f>
        <v/>
      </c>
      <c r="I43" s="5" t="n">
        <v>-2</v>
      </c>
      <c r="O43" s="5">
        <f>IF(N43=1,SUMIF(I43,"&gt;0"),0)</f>
        <v/>
      </c>
      <c r="P43" s="5">
        <f>IF(N43=1,SUMIF(I43,"&lt;0")*-1,0)</f>
        <v/>
      </c>
      <c r="Q43" s="5">
        <f>IF(M43=1,SUMIF(I43,"&lt;0")*-1,0)</f>
        <v/>
      </c>
      <c r="R43" s="5">
        <f>IF(M43=1,SUMIF(I43,"&gt;0"),0)</f>
        <v/>
      </c>
      <c r="S43" s="5">
        <f>SUMIFS(I43,I43,"&lt;0",M43,"",N43,"")</f>
        <v/>
      </c>
      <c r="T43" s="3">
        <f>SUMIFS(I43,I43,"&gt;0",M43,"",N43,"")</f>
        <v/>
      </c>
      <c r="U43" s="5">
        <f>IFERROR((S43*W43)*-1,0)</f>
        <v/>
      </c>
      <c r="V43" s="5">
        <f>IFERROR(T43*W43,0)</f>
        <v/>
      </c>
      <c r="W43" s="5">
        <f>VLOOKUP(B43,productos!A:K,5,FALSE)</f>
        <v/>
      </c>
      <c r="X43" s="5">
        <f>VLOOKUP(B43,productos!A:K,4,FALSE)</f>
        <v/>
      </c>
    </row>
    <row r="44">
      <c r="A44" s="4" t="n">
        <v>45262</v>
      </c>
      <c r="B44" t="inlineStr">
        <is>
          <t>20W-50M</t>
        </is>
      </c>
      <c r="C44" t="inlineStr">
        <is>
          <t>aceite  1/4 mobil super 20w-50 1000</t>
        </is>
      </c>
      <c r="D44" t="inlineStr">
        <is>
          <t>MOBIL</t>
        </is>
      </c>
      <c r="E44" t="inlineStr">
        <is>
          <t>aceite</t>
        </is>
      </c>
      <c r="H44" s="4">
        <f>TEXT(A44,"MMMM") &amp; TEXT(A44,"yy")</f>
        <v/>
      </c>
      <c r="I44" s="5" t="n">
        <v>-2</v>
      </c>
      <c r="O44" s="5">
        <f>IF(N44=1,SUMIF(I44,"&gt;0"),0)</f>
        <v/>
      </c>
      <c r="P44" s="5">
        <f>IF(N44=1,SUMIF(I44,"&lt;0")*-1,0)</f>
        <v/>
      </c>
      <c r="Q44" s="5">
        <f>IF(M44=1,SUMIF(I44,"&lt;0")*-1,0)</f>
        <v/>
      </c>
      <c r="R44" s="5">
        <f>IF(M44=1,SUMIF(I44,"&gt;0"),0)</f>
        <v/>
      </c>
      <c r="S44" s="5">
        <f>SUMIFS(I44,I44,"&lt;0",M44,"",N44,"")</f>
        <v/>
      </c>
      <c r="T44" s="3">
        <f>SUMIFS(I44,I44,"&gt;0",M44,"",N44,"")</f>
        <v/>
      </c>
      <c r="U44" s="5">
        <f>IFERROR((S44*W44)*-1,0)</f>
        <v/>
      </c>
      <c r="V44" s="5">
        <f>IFERROR(T44*W44,0)</f>
        <v/>
      </c>
      <c r="W44" s="5">
        <f>VLOOKUP(B44,productos!A:K,5,FALSE)</f>
        <v/>
      </c>
      <c r="X44" s="5">
        <f>VLOOKUP(B44,productos!A:K,4,FALSE)</f>
        <v/>
      </c>
    </row>
    <row r="45">
      <c r="A45" s="4" t="n">
        <v>45262</v>
      </c>
      <c r="B45" t="inlineStr">
        <is>
          <t>SAE50M</t>
        </is>
      </c>
      <c r="C45" t="inlineStr">
        <is>
          <t xml:space="preserve">aceite  1/4 sae 50 mobil special hd </t>
        </is>
      </c>
      <c r="D45" t="inlineStr">
        <is>
          <t>MOBIL</t>
        </is>
      </c>
      <c r="E45" t="inlineStr">
        <is>
          <t>aceite</t>
        </is>
      </c>
      <c r="H45" s="4">
        <f>TEXT(A45,"MMMM") &amp; TEXT(A45,"yy")</f>
        <v/>
      </c>
      <c r="I45" s="5" t="n">
        <v>-1</v>
      </c>
      <c r="O45" s="5">
        <f>IF(N45=1,SUMIF(I45,"&gt;0"),0)</f>
        <v/>
      </c>
      <c r="P45" s="5">
        <f>IF(N45=1,SUMIF(I45,"&lt;0")*-1,0)</f>
        <v/>
      </c>
      <c r="Q45" s="5">
        <f>IF(M45=1,SUMIF(I45,"&lt;0")*-1,0)</f>
        <v/>
      </c>
      <c r="R45" s="5">
        <f>IF(M45=1,SUMIF(I45,"&gt;0"),0)</f>
        <v/>
      </c>
      <c r="S45" s="5">
        <f>SUMIFS(I45,I45,"&lt;0",M45,"",N45,"")</f>
        <v/>
      </c>
      <c r="T45" s="3">
        <f>SUMIFS(I45,I45,"&gt;0",M45,"",N45,"")</f>
        <v/>
      </c>
      <c r="U45" s="5">
        <f>IFERROR((S45*W45)*-1,0)</f>
        <v/>
      </c>
      <c r="V45" s="5">
        <f>IFERROR(T45*W45,0)</f>
        <v/>
      </c>
      <c r="W45" s="5">
        <f>VLOOKUP(B45,productos!A:K,5,FALSE)</f>
        <v/>
      </c>
      <c r="X45" s="5">
        <f>VLOOKUP(B45,productos!A:K,4,FALSE)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2024-03-21T15:15:05Z</dcterms:modified>
  <cp:lastModifiedBy>Joseph Cardona</cp:lastModifiedBy>
</cp:coreProperties>
</file>