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#</t>
        </is>
      </c>
      <c r="B1" s="34" t="inlineStr">
        <is>
          <t>Fecha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/>
      <c r="B2" s="36" t="n">
        <v>45236</v>
      </c>
      <c r="C2" s="37" t="inlineStr">
        <is>
          <t>nnnn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/>
      <c r="B3" s="36" t="n">
        <v>45236</v>
      </c>
      <c r="C3" s="37" t="inlineStr">
        <is>
          <t>asfg</t>
        </is>
      </c>
      <c r="D3" s="37" t="inlineStr">
        <is>
          <t>fnn</t>
        </is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 t="inlineStr">
        <is>
          <t>sdg</t>
        </is>
      </c>
      <c r="D4" s="37" t="n"/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n"/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/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/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ch-38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>
        <f>IF(Tabla3[[#This Row], [EXISTENCIA ACTUAL]]=0,"Agotado",          IF(  Tabla3[[#This Row], [EXISTENCIA ACTUAL]]&lt;Tabla3[[#This Row], [STOCK MÍNIMO]],"Menor al Mìnimo",    "Ok") )</f>
        <v/>
      </c>
      <c r="I2" s="29">
        <f>IF(Tabla3[[#This Row], [EXISTENCIA ACTUAL]]=0,0,          IF(  Tabla3[[#This Row], [EXISTENCIA ACTUAL]]&lt;Tabla3[[#This Row], [STOCK MÍNIMO]],1,    2) )</f>
        <v/>
      </c>
      <c r="J2" s="28" t="n"/>
      <c r="K2" s="16">
        <f>SUMIFS(Tabla5[cantidad],Tabla5[Codigo],Tabla3[[#This Row], [Codigo]])</f>
        <v/>
      </c>
      <c r="L2" s="30" t="inlineStr">
        <is>
          <t>ch-38</t>
        </is>
      </c>
      <c r="M2" s="16">
        <f>SUMIFS(Tabla3[EXISTENCIA ACTUAL],Tabla3[CODIGO UNITARIO],Tabla3[[#This Row], [CODIGO UNITARIO]])</f>
        <v/>
      </c>
    </row>
    <row r="3" ht="18.75" customHeight="1">
      <c r="A3" s="18" t="inlineStr">
        <is>
          <t>A-2862C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>
        <f>IF(Tabla3[[#This Row], [EXISTENCIA ACTUAL]]=0,"Agotado",          IF(  Tabla3[[#This Row], [EXISTENCIA ACTUAL]]&lt;Tabla3[[#This Row], [STOCK MÍNIMO]],"Menor al Mìnimo",    "Ok") )</f>
        <v/>
      </c>
      <c r="I3" s="29">
        <f>IF(Tabla3[[#This Row], [EXISTENCIA ACTUAL]]=0,0,          IF(  Tabla3[[#This Row], [EXISTENCIA ACTUAL]]&lt;Tabla3[[#This Row], [STOCK MÍNIMO]],1,    2) )</f>
        <v/>
      </c>
      <c r="J3" s="28" t="n"/>
      <c r="K3" s="16">
        <f>SUMIFS(Tabla5[cantidad],Tabla5[Codigo],Tabla3[[#This Row], [Codigo]])</f>
        <v/>
      </c>
      <c r="L3" s="30" t="inlineStr">
        <is>
          <t>a-111</t>
        </is>
      </c>
      <c r="M3" s="16">
        <f>SUMIFS(Tabla3[EXISTENCIA ACTUAL],Tabla3[CODIGO UNITARIO],Tabla3[[#This Row], [CODIGO UNITARIO]])</f>
        <v/>
      </c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IF(Tabla3[[#This Row], [EXISTENCIA ACTUAL]]=0,"Agotado",          IF(  Tabla3[[#This Row], [EXISTENCIA ACTUAL]]&lt;Tabla3[[#This Row], [STOCK MÍNIMO]],"Menor al Mìnimo",    "Ok") )</f>
        <v/>
      </c>
      <c r="I4" s="29">
        <f>IF(Tabla3[[#This Row], [EXISTENCIA ACTUAL]]=0,0,          IF(  Tabla3[[#This Row], [EXISTENCIA ACTUAL]]&lt;Tabla3[[#This Row], [STOCK MÍNIMO]],1,    2) )</f>
        <v/>
      </c>
      <c r="J4" s="28" t="n"/>
      <c r="K4" s="16">
        <f>SUMIFS(Tabla5[cantidad],Tabla5[Codigo],Tabla3[[#This Row], [Codigo]])</f>
        <v/>
      </c>
      <c r="L4" s="16" t="n">
        <v>7700273904</v>
      </c>
      <c r="M4" s="16">
        <f>SUMIFS(Tabla3[EXISTENCIA ACTUAL],Tabla3[CODIGO UNITARIO],Tabla3[[#This Row], [CODIGO UNITARIO]])</f>
        <v/>
      </c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>
        <f>IF(Tabla3[[#This Row], [EXISTENCIA ACTUAL]]=0,"Agotado",          IF(  Tabla3[[#This Row], [EXISTENCIA ACTUAL]]&lt;Tabla3[[#This Row], [STOCK MÍNIMO]],"Menor al Mìnimo",    "Ok") )</f>
        <v/>
      </c>
      <c r="I5" s="29">
        <f>IF(Tabla3[[#This Row], [EXISTENCIA ACTUAL]]=0,0,          IF(  Tabla3[[#This Row], [EXISTENCIA ACTUAL]]&lt;Tabla3[[#This Row], [STOCK MÍNIMO]],1,    2) )</f>
        <v/>
      </c>
      <c r="J5" s="28" t="n"/>
      <c r="K5" s="16">
        <f>SUMIFS(Tabla5[cantidad],Tabla5[Codigo],Tabla3[[#This Row], [Codigo]])</f>
        <v/>
      </c>
      <c r="L5" s="16" t="n">
        <v>8200141457</v>
      </c>
      <c r="M5" s="16">
        <f>SUMIFS(Tabla3[EXISTENCIA ACTUAL],Tabla3[CODIGO UNITARIO],Tabla3[[#This Row], [CODIGO UNITARIO]])</f>
        <v/>
      </c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>
        <f>IF(Tabla3[[#This Row], [EXISTENCIA ACTUAL]]=0,"Agotado",          IF(  Tabla3[[#This Row], [EXISTENCIA ACTUAL]]&lt;Tabla3[[#This Row], [STOCK MÍNIMO]],"Menor al Mìnimo",    "Ok") )</f>
        <v/>
      </c>
      <c r="I6" s="29">
        <f>IF(Tabla3[[#This Row], [EXISTENCIA ACTUAL]]=0,0,          IF(  Tabla3[[#This Row], [EXISTENCIA ACTUAL]]&lt;Tabla3[[#This Row], [STOCK MÍNIMO]],1,    2) )</f>
        <v/>
      </c>
      <c r="J6" s="28" t="n"/>
      <c r="K6" s="16">
        <f>SUMIFS(Tabla5[cantidad],Tabla5[Codigo],Tabla3[[#This Row], [Codigo]])</f>
        <v/>
      </c>
      <c r="L6" s="30" t="inlineStr">
        <is>
          <t>of-1402</t>
        </is>
      </c>
      <c r="M6" s="16">
        <f>SUMIFS(Tabla3[EXISTENCIA ACTUAL],Tabla3[CODIGO UNITARIO],Tabla3[[#This Row], [CODIGO UNITARIO]])</f>
        <v/>
      </c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>
        <f>IF(Tabla3[[#This Row], [EXISTENCIA ACTUAL]]=0,"Agotado",          IF(  Tabla3[[#This Row], [EXISTENCIA ACTUAL]]&lt;Tabla3[[#This Row], [STOCK MÍNIMO]],"Menor al Mìnimo",    "Ok") )</f>
        <v/>
      </c>
      <c r="I7" s="31">
        <f>IF(Tabla3[[#This Row], [EXISTENCIA ACTUAL]]=0,0,          IF(  Tabla3[[#This Row], [EXISTENCIA ACTUAL]]&lt;Tabla3[[#This Row], [STOCK MÍNIMO]],1,    2) )</f>
        <v/>
      </c>
      <c r="J7" s="28" t="n"/>
      <c r="K7" s="16">
        <f>SUMIFS(Tabla5[cantidad],Tabla5[Codigo],Tabla3[[#This Row], [Codigo]])</f>
        <v/>
      </c>
      <c r="L7" s="30" t="inlineStr">
        <is>
          <t>valv</t>
        </is>
      </c>
      <c r="M7" s="16">
        <f>SUMIFS(Tabla3[EXISTENCIA ACTUAL],Tabla3[CODIGO UNITARIO],Tabla3[[#This Row], [CODIGO UNITARIO]])</f>
        <v/>
      </c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>
        <f>IF(Tabla3[[#This Row], [EXISTENCIA ACTUAL]]=0,"Agotado",          IF(  Tabla3[[#This Row], [EXISTENCIA ACTUAL]]&lt;Tabla3[[#This Row], [STOCK MÍNIMO]],"Menor al Mìnimo",    "Ok") )</f>
        <v/>
      </c>
      <c r="I8" s="31">
        <f>IF(Tabla3[[#This Row], [EXISTENCIA ACTUAL]]=0,0,          IF(  Tabla3[[#This Row], [EXISTENCIA ACTUAL]]&lt;Tabla3[[#This Row], [STOCK MÍNIMO]],1,    2) )</f>
        <v/>
      </c>
      <c r="J8" s="28" t="n"/>
      <c r="K8" s="16">
        <f>SUMIFS(Tabla5[cantidad],Tabla5[Codigo],Tabla3[[#This Row], [Codigo]])</f>
        <v/>
      </c>
      <c r="L8" s="30" t="inlineStr">
        <is>
          <t>(09189</t>
        </is>
      </c>
      <c r="M8" s="16">
        <f>SUMIFS(Tabla3[EXISTENCIA ACTUAL],Tabla3[CODIGO UNITARIO],Tabla3[[#This Row], [CODIGO UNITARIO]])</f>
        <v/>
      </c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>
        <f>IF(Tabla3[[#This Row], [EXISTENCIA ACTUAL]]=0,"Agotado",          IF(  Tabla3[[#This Row], [EXISTENCIA ACTUAL]]&lt;Tabla3[[#This Row], [STOCK MÍNIMO]],"Menor al Mìnimo",    "Ok") )</f>
        <v/>
      </c>
      <c r="I9" s="31">
        <f>IF(Tabla3[[#This Row], [EXISTENCIA ACTUAL]]=0,0,          IF(  Tabla3[[#This Row], [EXISTENCIA ACTUAL]]&lt;Tabla3[[#This Row], [STOCK MÍNIMO]],1,    2) )</f>
        <v/>
      </c>
      <c r="J9" s="28" t="n"/>
      <c r="K9" s="16">
        <f>SUMIFS(Tabla5[cantidad],Tabla5[Codigo],Tabla3[[#This Row], [Codigo]])</f>
        <v/>
      </c>
      <c r="L9" s="30" t="inlineStr">
        <is>
          <t>KOS-7412</t>
        </is>
      </c>
      <c r="M9" s="16">
        <f>SUMIFS(Tabla3[EXISTENCIA ACTUAL],Tabla3[CODIGO UNITARIO],Tabla3[[#This Row], [CODIGO UNITARIO]])</f>
        <v/>
      </c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>
        <f>IF(Tabla3[[#This Row], [EXISTENCIA ACTUAL]]=0,"Agotado",          IF(  Tabla3[[#This Row], [EXISTENCIA ACTUAL]]&lt;Tabla3[[#This Row], [STOCK MÍNIMO]],"Menor al Mìnimo",    "Ok") )</f>
        <v/>
      </c>
      <c r="I10" s="31">
        <f>IF(Tabla3[[#This Row], [EXISTENCIA ACTUAL]]=0,0,          IF(  Tabla3[[#This Row], [EXISTENCIA ACTUAL]]&lt;Tabla3[[#This Row], [STOCK MÍNIMO]],1,    2) )</f>
        <v/>
      </c>
      <c r="J10" s="28" t="n"/>
      <c r="K10" s="16">
        <f>SUMIFS(Tabla5[cantidad],Tabla5[Codigo],Tabla3[[#This Row], [Codigo]])</f>
        <v/>
      </c>
      <c r="L10" s="30" t="inlineStr">
        <is>
          <t>a-14476</t>
        </is>
      </c>
      <c r="M10" s="16">
        <f>SUMIFS(Tabla3[EXISTENCIA ACTUAL],Tabla3[CODIGO UNITARIO],Tabla3[[#This Row], [CODIGO UNITARIO]])</f>
        <v/>
      </c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>
        <f>IF(Tabla3[[#This Row], [EXISTENCIA ACTUAL]]=0,"Agotado",          IF(  Tabla3[[#This Row], [EXISTENCIA ACTUAL]]&lt;Tabla3[[#This Row], [STOCK MÍNIMO]],"Menor al Mìnimo",    "Ok") )</f>
        <v/>
      </c>
      <c r="I11" s="31">
        <f>IF(Tabla3[[#This Row], [EXISTENCIA ACTUAL]]=0,0,          IF(  Tabla3[[#This Row], [EXISTENCIA ACTUAL]]&lt;Tabla3[[#This Row], [STOCK MÍNIMO]],1,    2) )</f>
        <v/>
      </c>
      <c r="J11" s="28" t="n"/>
      <c r="K11" s="16">
        <f>SUMIFS(Tabla5[cantidad],Tabla5[Codigo],Tabla3[[#This Row], [Codigo]])</f>
        <v/>
      </c>
      <c r="L11" s="30" t="inlineStr">
        <is>
          <t>a-323</t>
        </is>
      </c>
      <c r="M11" s="16">
        <f>SUMIFS(Tabla3[EXISTENCIA ACTUAL],Tabla3[CODIGO UNITARIO],Tabla3[[#This Row], [CODIGO UNITARIO]])</f>
        <v/>
      </c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>
        <f>IF(Tabla3[[#This Row], [EXISTENCIA ACTUAL]]=0,"Agotado",          IF(  Tabla3[[#This Row], [EXISTENCIA ACTUAL]]&lt;Tabla3[[#This Row], [STOCK MÍNIMO]],"Menor al Mìnimo",    "Ok") )</f>
        <v/>
      </c>
      <c r="I12" s="31">
        <f>IF(Tabla3[[#This Row], [EXISTENCIA ACTUAL]]=0,0,          IF(  Tabla3[[#This Row], [EXISTENCIA ACTUAL]]&lt;Tabla3[[#This Row], [STOCK MÍNIMO]],1,    2) )</f>
        <v/>
      </c>
      <c r="J12" s="28" t="n"/>
      <c r="K12" s="16">
        <f>SUMIFS(Tabla5[cantidad],Tabla5[Codigo],Tabla3[[#This Row], [Codigo]])</f>
        <v/>
      </c>
      <c r="L12" s="30" t="inlineStr">
        <is>
          <t>a-111</t>
        </is>
      </c>
      <c r="M12" s="16">
        <f>SUMIFS(Tabla3[EXISTENCIA ACTUAL],Tabla3[CODIGO UNITARIO],Tabla3[[#This Row], [CODIGO UNITARIO]])</f>
        <v/>
      </c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>
        <f>IF(Tabla3[[#This Row], [EXISTENCIA ACTUAL]]=0,"Agotado",          IF(  Tabla3[[#This Row], [EXISTENCIA ACTUAL]]&lt;Tabla3[[#This Row], [STOCK MÍNIMO]],"Menor al Mìnimo",    "Ok") )</f>
        <v/>
      </c>
      <c r="I13" s="31">
        <f>IF(Tabla3[[#This Row], [EXISTENCIA ACTUAL]]=0,0,          IF(  Tabla3[[#This Row], [EXISTENCIA ACTUAL]]&lt;Tabla3[[#This Row], [STOCK MÍNIMO]],1,    2) )</f>
        <v/>
      </c>
      <c r="J13" s="28" t="n"/>
      <c r="K13" s="16">
        <f>SUMIFS(Tabla5[cantidad],Tabla5[Codigo],Tabla3[[#This Row], [Codigo]])</f>
        <v/>
      </c>
      <c r="L13" s="30" t="inlineStr">
        <is>
          <t>a-3603</t>
        </is>
      </c>
      <c r="M13" s="16">
        <f>SUMIFS(Tabla3[EXISTENCIA ACTUAL],Tabla3[CODIGO UNITARIO],Tabla3[[#This Row], [CODIGO UNITARIO]])</f>
        <v/>
      </c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>
        <f>IF(Tabla3[[#This Row], [EXISTENCIA ACTUAL]]=0,"Agotado",          IF(  Tabla3[[#This Row], [EXISTENCIA ACTUAL]]&lt;Tabla3[[#This Row], [STOCK MÍNIMO]],"Menor al Mìnimo",    "Ok") )</f>
        <v/>
      </c>
      <c r="I14" s="29">
        <f>IF(Tabla3[[#This Row], [EXISTENCIA ACTUAL]]=0,0,          IF(  Tabla3[[#This Row], [EXISTENCIA ACTUAL]]&lt;Tabla3[[#This Row], [STOCK MÍNIMO]],1,    2) )</f>
        <v/>
      </c>
      <c r="J14" s="28" t="n"/>
      <c r="K14" s="16">
        <f>SUMIFS(Tabla5[cantidad],Tabla5[Codigo],Tabla3[[#This Row], [Codigo]])</f>
        <v/>
      </c>
      <c r="L14" s="30" t="inlineStr">
        <is>
          <t>valv</t>
        </is>
      </c>
      <c r="M14" s="16">
        <f>SUMIFS(Tabla3[EXISTENCIA ACTUAL],Tabla3[CODIGO UNITARIO],Tabla3[[#This Row], [CODIGO UNITARIO]])</f>
        <v/>
      </c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>
        <f>IF(Tabla3[[#This Row], [EXISTENCIA ACTUAL]]=0,"Agotado",          IF(  Tabla3[[#This Row], [EXISTENCIA ACTUAL]]&lt;Tabla3[[#This Row], [STOCK MÍNIMO]],"Menor al Mìnimo",    "Ok") )</f>
        <v/>
      </c>
      <c r="I15" s="29">
        <f>IF(Tabla3[[#This Row], [EXISTENCIA ACTUAL]]=0,0,          IF(  Tabla3[[#This Row], [EXISTENCIA ACTUAL]]&lt;Tabla3[[#This Row], [STOCK MÍNIMO]],1,    2) )</f>
        <v/>
      </c>
      <c r="J15" s="28" t="n"/>
      <c r="K15" s="16">
        <f>SUMIFS(Tabla5[cantidad],Tabla5[Codigo],Tabla3[[#This Row], [Codigo]])</f>
        <v/>
      </c>
      <c r="L15" s="30" t="inlineStr">
        <is>
          <t>pcvaveo</t>
        </is>
      </c>
      <c r="M15" s="16">
        <f>SUMIFS(Tabla3[EXISTENCIA ACTUAL],Tabla3[CODIGO UNITARIO],Tabla3[[#This Row], [CODIGO UNITARIO]])</f>
        <v/>
      </c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>
        <f>IF(Tabla3[[#This Row], [EXISTENCIA ACTUAL]]=0,"Agotado",          IF(  Tabla3[[#This Row], [EXISTENCIA ACTUAL]]&lt;Tabla3[[#This Row], [STOCK MÍNIMO]],"Menor al Mìnimo",    "Ok") )</f>
        <v/>
      </c>
      <c r="I16" s="29">
        <f>IF(Tabla3[[#This Row], [EXISTENCIA ACTUAL]]=0,0,          IF(  Tabla3[[#This Row], [EXISTENCIA ACTUAL]]&lt;Tabla3[[#This Row], [STOCK MÍNIMO]],1,    2) )</f>
        <v/>
      </c>
      <c r="J16" s="28" t="n"/>
      <c r="K16" s="16">
        <f>SUMIFS(Tabla5[cantidad],Tabla5[Codigo],Tabla3[[#This Row], [Codigo]])</f>
        <v/>
      </c>
      <c r="L16" s="32" t="inlineStr">
        <is>
          <t>18118</t>
        </is>
      </c>
      <c r="M16" s="16">
        <f>SUMIFS(Tabla3[EXISTENCIA ACTUAL],Tabla3[CODIGO UNITARIO],Tabla3[[#This Row], [CODIGO UNITARIO]])</f>
        <v/>
      </c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>
        <f>IF(Tabla3[[#This Row], [EXISTENCIA ACTUAL]]=0,"Agotado",          IF(  Tabla3[[#This Row], [EXISTENCIA ACTUAL]]&lt;Tabla3[[#This Row], [STOCK MÍNIMO]],"Menor al Mìnimo",    "Ok") )</f>
        <v/>
      </c>
      <c r="I17" s="29">
        <f>IF(Tabla3[[#This Row], [EXISTENCIA ACTUAL]]=0,0,          IF(  Tabla3[[#This Row], [EXISTENCIA ACTUAL]]&lt;Tabla3[[#This Row], [STOCK MÍNIMO]],1,    2) )</f>
        <v/>
      </c>
      <c r="J17" s="28" t="n"/>
      <c r="K17" s="16">
        <f>SUMIFS(Tabla5[cantidad],Tabla5[Codigo],Tabla3[[#This Row], [Codigo]])</f>
        <v/>
      </c>
      <c r="L17" s="32" t="inlineStr">
        <is>
          <t>96991801</t>
        </is>
      </c>
      <c r="M17" s="16">
        <f>SUMIFS(Tabla3[EXISTENCIA ACTUAL],Tabla3[CODIGO UNITARIO],Tabla3[[#This Row], [CODIGO UNITARIO]])</f>
        <v/>
      </c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>
        <f>IF(Tabla3[[#This Row], [EXISTENCIA ACTUAL]]=0,"Agotado",          IF(  Tabla3[[#This Row], [EXISTENCIA ACTUAL]]&lt;Tabla3[[#This Row], [STOCK MÍNIMO]],"Menor al Mìnimo",    "Ok") )</f>
        <v/>
      </c>
      <c r="I18" s="29">
        <f>IF(Tabla3[[#This Row], [EXISTENCIA ACTUAL]]=0,0,          IF(  Tabla3[[#This Row], [EXISTENCIA ACTUAL]]&lt;Tabla3[[#This Row], [STOCK MÍNIMO]],1,    2) )</f>
        <v/>
      </c>
      <c r="J18" s="28" t="n"/>
      <c r="K18" s="16">
        <f>SUMIFS(Tabla5[cantidad],Tabla5[Codigo],Tabla3[[#This Row], [Codigo]])</f>
        <v/>
      </c>
      <c r="L18" s="32" t="inlineStr">
        <is>
          <t>18118</t>
        </is>
      </c>
      <c r="M18" s="16">
        <f>SUMIFS(Tabla3[EXISTENCIA ACTUAL],Tabla3[CODIGO UNITARIO],Tabla3[[#This Row], [CODIGO UNITARIO]])</f>
        <v/>
      </c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>
        <f>IF(Tabla3[[#This Row], [EXISTENCIA ACTUAL]]=0,"Agotado",          IF(  Tabla3[[#This Row], [EXISTENCIA ACTUAL]]&lt;Tabla3[[#This Row], [STOCK MÍNIMO]],"Menor al Mìnimo",    "Ok") )</f>
        <v/>
      </c>
      <c r="I19" s="29">
        <f>IF(Tabla3[[#This Row], [EXISTENCIA ACTUAL]]=0,0,          IF(  Tabla3[[#This Row], [EXISTENCIA ACTUAL]]&lt;Tabla3[[#This Row], [STOCK MÍNIMO]],1,    2) )</f>
        <v/>
      </c>
      <c r="J19" s="28" t="n"/>
      <c r="K19" s="16">
        <f>SUMIFS(Tabla5[cantidad],Tabla5[Codigo],Tabla3[[#This Row], [Codigo]])</f>
        <v/>
      </c>
      <c r="L19" s="30" t="inlineStr">
        <is>
          <t>2-01-0239</t>
        </is>
      </c>
      <c r="M19" s="16">
        <f>SUMIFS(Tabla3[EXISTENCIA ACTUAL],Tabla3[CODIGO UNITARIO],Tabla3[[#This Row], [CODIGO UNITARIO]])</f>
        <v/>
      </c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>
        <f>IF(Tabla3[[#This Row], [EXISTENCIA ACTUAL]]=0,"Agotado",          IF(  Tabla3[[#This Row], [EXISTENCIA ACTUAL]]&lt;Tabla3[[#This Row], [STOCK MÍNIMO]],"Menor al Mìnimo",    "Ok") )</f>
        <v/>
      </c>
      <c r="I20" s="29">
        <f>IF(Tabla3[[#This Row], [EXISTENCIA ACTUAL]]=0,0,          IF(  Tabla3[[#This Row], [EXISTENCIA ACTUAL]]&lt;Tabla3[[#This Row], [STOCK MÍNIMO]],1,    2) )</f>
        <v/>
      </c>
      <c r="J20" s="28" t="n"/>
      <c r="K20" s="16">
        <f>SUMIFS(Tabla5[cantidad],Tabla5[Codigo],Tabla3[[#This Row], [Codigo]])</f>
        <v/>
      </c>
      <c r="L20" s="16" t="n">
        <v>14320</v>
      </c>
      <c r="M20" s="16">
        <f>SUMIFS(Tabla3[EXISTENCIA ACTUAL],Tabla3[CODIGO UNITARIO],Tabla3[[#This Row], [CODIGO UNITARIO]])</f>
        <v/>
      </c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>
        <f>IF(Tabla3[[#This Row], [EXISTENCIA ACTUAL]]=0,"Agotado",          IF(  Tabla3[[#This Row], [EXISTENCIA ACTUAL]]&lt;Tabla3[[#This Row], [STOCK MÍNIMO]],"Menor al Mìnimo",    "Ok") )</f>
        <v/>
      </c>
      <c r="I21" s="29">
        <f>IF(Tabla3[[#This Row], [EXISTENCIA ACTUAL]]=0,0,          IF(  Tabla3[[#This Row], [EXISTENCIA ACTUAL]]&lt;Tabla3[[#This Row], [STOCK MÍNIMO]],1,    2) )</f>
        <v/>
      </c>
      <c r="J21" s="28" t="n"/>
      <c r="K21" s="16">
        <f>SUMIFS(Tabla5[cantidad],Tabla5[Codigo],Tabla3[[#This Row], [Codigo]])</f>
        <v/>
      </c>
      <c r="L21" s="16" t="n">
        <v>24516476</v>
      </c>
      <c r="M21" s="16">
        <f>SUMIFS(Tabla3[EXISTENCIA ACTUAL],Tabla3[CODIGO UNITARIO],Tabla3[[#This Row], [CODIGO UNITARIO]])</f>
        <v/>
      </c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>
        <f>IF(Tabla3[[#This Row], [EXISTENCIA ACTUAL]]=0,"Agotado",          IF(  Tabla3[[#This Row], [EXISTENCIA ACTUAL]]&lt;Tabla3[[#This Row], [STOCK MÍNIMO]],"Menor al Mìnimo",    "Ok") )</f>
        <v/>
      </c>
      <c r="I22" s="29">
        <f>IF(Tabla3[[#This Row], [EXISTENCIA ACTUAL]]=0,0,          IF(  Tabla3[[#This Row], [EXISTENCIA ACTUAL]]&lt;Tabla3[[#This Row], [STOCK MÍNIMO]],1,    2) )</f>
        <v/>
      </c>
      <c r="J22" s="28" t="n"/>
      <c r="K22" s="16">
        <f>SUMIFS(Tabla5[cantidad],Tabla5[Codigo],Tabla3[[#This Row], [Codigo]])</f>
        <v/>
      </c>
      <c r="L22" s="16" t="n">
        <v>96535300</v>
      </c>
      <c r="M22" s="16">
        <f>SUMIFS(Tabla3[EXISTENCIA ACTUAL],Tabla3[CODIGO UNITARIO],Tabla3[[#This Row], [CODIGO UNITARIO]])</f>
        <v/>
      </c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>
        <f>IF(Tabla3[[#This Row], [EXISTENCIA ACTUAL]]=0,"Agotado",          IF(  Tabla3[[#This Row], [EXISTENCIA ACTUAL]]&lt;Tabla3[[#This Row], [STOCK MÍNIMO]],"Menor al Mìnimo",    "Ok") )</f>
        <v/>
      </c>
      <c r="I23" s="31">
        <f>IF(Tabla3[[#This Row], [EXISTENCIA ACTUAL]]=0,0,          IF(  Tabla3[[#This Row], [EXISTENCIA ACTUAL]]&lt;Tabla3[[#This Row], [STOCK MÍNIMO]],1,    2) )</f>
        <v/>
      </c>
      <c r="J23" s="28" t="n"/>
      <c r="K23" s="16">
        <f>SUMIFS(Tabla5[cantidad],Tabla5[Codigo],Tabla3[[#This Row], [Codigo]])</f>
        <v/>
      </c>
      <c r="L23" s="30" t="inlineStr">
        <is>
          <t>pcvaveo</t>
        </is>
      </c>
      <c r="M23" s="16">
        <f>SUMIFS(Tabla3[EXISTENCIA ACTUAL],Tabla3[CODIGO UNITARIO],Tabla3[[#This Row], [CODIGO UNITARIO]])</f>
        <v/>
      </c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>
        <f>IF(Tabla3[[#This Row], [EXISTENCIA ACTUAL]]=0,"Agotado",          IF(  Tabla3[[#This Row], [EXISTENCIA ACTUAL]]&lt;Tabla3[[#This Row], [STOCK MÍNIMO]],"Menor al Mìnimo",    "Ok") )</f>
        <v/>
      </c>
      <c r="I24" s="31">
        <f>IF(Tabla3[[#This Row], [EXISTENCIA ACTUAL]]=0,0,          IF(  Tabla3[[#This Row], [EXISTENCIA ACTUAL]]&lt;Tabla3[[#This Row], [STOCK MÍNIMO]],1,    2) )</f>
        <v/>
      </c>
      <c r="J24" s="28" t="n"/>
      <c r="K24" s="16">
        <f>SUMIFS(Tabla5[cantidad],Tabla5[Codigo],Tabla3[[#This Row], [Codigo]])</f>
        <v/>
      </c>
      <c r="L24" s="32" t="inlineStr">
        <is>
          <t>18118</t>
        </is>
      </c>
      <c r="M24" s="16">
        <f>SUMIFS(Tabla3[EXISTENCIA ACTUAL],Tabla3[CODIGO UNITARIO],Tabla3[[#This Row], [CODIGO UNITARIO]])</f>
        <v/>
      </c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>
        <f>IF(Tabla3[[#This Row], [EXISTENCIA ACTUAL]]=0,"Agotado",          IF(  Tabla3[[#This Row], [EXISTENCIA ACTUAL]]&lt;Tabla3[[#This Row], [STOCK MÍNIMO]],"Menor al Mìnimo",    "Ok") )</f>
        <v/>
      </c>
      <c r="I25" s="29">
        <f>IF(Tabla3[[#This Row], [EXISTENCIA ACTUAL]]=0,0,          IF(  Tabla3[[#This Row], [EXISTENCIA ACTUAL]]&lt;Tabla3[[#This Row], [STOCK MÍNIMO]],1,    2) )</f>
        <v/>
      </c>
      <c r="J25" s="28" t="n"/>
      <c r="K25" s="16">
        <f>SUMIFS(Tabla5[cantidad],Tabla5[Codigo],Tabla3[[#This Row], [Codigo]])</f>
        <v/>
      </c>
      <c r="L25" s="30" t="inlineStr">
        <is>
          <t>CCX008</t>
        </is>
      </c>
      <c r="M25" s="16">
        <f>SUMIFS(Tabla3[EXISTENCIA ACTUAL],Tabla3[CODIGO UNITARIO],Tabla3[[#This Row], [CODIGO UNITARIO]])</f>
        <v/>
      </c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>
        <f>IF(Tabla3[[#This Row], [EXISTENCIA ACTUAL]]=0,"Agotado",          IF(  Tabla3[[#This Row], [EXISTENCIA ACTUAL]]&lt;Tabla3[[#This Row], [STOCK MÍNIMO]],"Menor al Mìnimo",    "Ok") )</f>
        <v/>
      </c>
      <c r="I26" s="31">
        <f>IF(Tabla3[[#This Row], [EXISTENCIA ACTUAL]]=0,0,          IF(  Tabla3[[#This Row], [EXISTENCIA ACTUAL]]&lt;Tabla3[[#This Row], [STOCK MÍNIMO]],1,    2) )</f>
        <v/>
      </c>
      <c r="J26" s="28" t="n"/>
      <c r="K26" s="16">
        <f>SUMIFS(Tabla5[cantidad],Tabla5[Codigo],Tabla3[[#This Row], [Codigo]])</f>
        <v/>
      </c>
      <c r="L26" s="16" t="n">
        <v>14320</v>
      </c>
      <c r="M26" s="16">
        <f>SUMIFS(Tabla3[EXISTENCIA ACTUAL],Tabla3[CODIGO UNITARIO],Tabla3[[#This Row], [CODIGO UNITARIO]])</f>
        <v/>
      </c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>
        <f>IF(Tabla3[[#This Row], [EXISTENCIA ACTUAL]]=0,"Agotado",          IF(  Tabla3[[#This Row], [EXISTENCIA ACTUAL]]&lt;Tabla3[[#This Row], [STOCK MÍNIMO]],"Menor al Mìnimo",    "Ok") )</f>
        <v/>
      </c>
      <c r="I27" s="31">
        <f>IF(Tabla3[[#This Row], [EXISTENCIA ACTUAL]]=0,0,          IF(  Tabla3[[#This Row], [EXISTENCIA ACTUAL]]&lt;Tabla3[[#This Row], [STOCK MÍNIMO]],1,    2) )</f>
        <v/>
      </c>
      <c r="J27" s="28" t="n"/>
      <c r="K27" s="16">
        <f>SUMIFS(Tabla5[cantidad],Tabla5[Codigo],Tabla3[[#This Row], [Codigo]])</f>
        <v/>
      </c>
      <c r="L27" s="30" t="inlineStr">
        <is>
          <t>pcvaveo</t>
        </is>
      </c>
      <c r="M27" s="16">
        <f>SUMIFS(Tabla3[EXISTENCIA ACTUAL],Tabla3[CODIGO UNITARIO],Tabla3[[#This Row], [CODIGO UNITARIO]])</f>
        <v/>
      </c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>
        <f>IF(Tabla3[[#This Row], [EXISTENCIA ACTUAL]]=0,"Agotado",          IF(  Tabla3[[#This Row], [EXISTENCIA ACTUAL]]&lt;Tabla3[[#This Row], [STOCK MÍNIMO]],"Menor al Mìnimo",    "Ok") )</f>
        <v/>
      </c>
      <c r="I28" s="29">
        <f>IF(Tabla3[[#This Row], [EXISTENCIA ACTUAL]]=0,0,          IF(  Tabla3[[#This Row], [EXISTENCIA ACTUAL]]&lt;Tabla3[[#This Row], [STOCK MÍNIMO]],1,    2) )</f>
        <v/>
      </c>
      <c r="J28" s="28" t="n"/>
      <c r="K28" s="16">
        <f>SUMIFS(Tabla5[cantidad],Tabla5[Codigo],Tabla3[[#This Row], [Codigo]])</f>
        <v/>
      </c>
      <c r="L28" s="30" t="inlineStr">
        <is>
          <t>kre-3010</t>
        </is>
      </c>
      <c r="M28" s="16">
        <f>SUMIFS(Tabla3[EXISTENCIA ACTUAL],Tabla3[CODIGO UNITARIO],Tabla3[[#This Row], [CODIGO UNITARIO]])</f>
        <v/>
      </c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>
        <f>IF(Tabla3[[#This Row], [EXISTENCIA ACTUAL]]=0,"Agotado",          IF(  Tabla3[[#This Row], [EXISTENCIA ACTUAL]]&lt;Tabla3[[#This Row], [STOCK MÍNIMO]],"Menor al Mìnimo",    "Ok") )</f>
        <v/>
      </c>
      <c r="I29" s="31">
        <f>IF(Tabla3[[#This Row], [EXISTENCIA ACTUAL]]=0,0,          IF(  Tabla3[[#This Row], [EXISTENCIA ACTUAL]]&lt;Tabla3[[#This Row], [STOCK MÍNIMO]],1,    2) )</f>
        <v/>
      </c>
      <c r="J29" s="28" t="n"/>
      <c r="K29" s="16">
        <f>SUMIFS(Tabla5[cantidad],Tabla5[Codigo],Tabla3[[#This Row], [Codigo]])</f>
        <v/>
      </c>
      <c r="L29" s="30" t="inlineStr">
        <is>
          <t>sailpcv</t>
        </is>
      </c>
      <c r="M29" s="16">
        <f>SUMIFS(Tabla3[EXISTENCIA ACTUAL],Tabla3[CODIGO UNITARIO],Tabla3[[#This Row], [CODIGO UNITARIO]])</f>
        <v/>
      </c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>
        <f>IF(Tabla3[[#This Row], [EXISTENCIA ACTUAL]]=0,"Agotado",          IF(  Tabla3[[#This Row], [EXISTENCIA ACTUAL]]&lt;Tabla3[[#This Row], [STOCK MÍNIMO]],"Menor al Mìnimo",    "Ok") )</f>
        <v/>
      </c>
      <c r="I30" s="31">
        <f>IF(Tabla3[[#This Row], [EXISTENCIA ACTUAL]]=0,0,          IF(  Tabla3[[#This Row], [EXISTENCIA ACTUAL]]&lt;Tabla3[[#This Row], [STOCK MÍNIMO]],1,    2) )</f>
        <v/>
      </c>
      <c r="J30" s="28" t="n"/>
      <c r="K30" s="16">
        <f>SUMIFS(Tabla5[cantidad],Tabla5[Codigo],Tabla3[[#This Row], [Codigo]])</f>
        <v/>
      </c>
      <c r="L30" s="30" t="inlineStr">
        <is>
          <t>pcvaveo</t>
        </is>
      </c>
      <c r="M30" s="16">
        <f>SUMIFS(Tabla3[EXISTENCIA ACTUAL],Tabla3[CODIGO UNITARIO],Tabla3[[#This Row], [CODIGO UNITARIO]])</f>
        <v/>
      </c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>
        <f>IF(Tabla3[[#This Row], [EXISTENCIA ACTUAL]]=0,"Agotado",          IF(  Tabla3[[#This Row], [EXISTENCIA ACTUAL]]&lt;Tabla3[[#This Row], [STOCK MÍNIMO]],"Menor al Mìnimo",    "Ok") )</f>
        <v/>
      </c>
      <c r="I31" s="31">
        <f>IF(Tabla3[[#This Row], [EXISTENCIA ACTUAL]]=0,0,          IF(  Tabla3[[#This Row], [EXISTENCIA ACTUAL]]&lt;Tabla3[[#This Row], [STOCK MÍNIMO]],1,    2) )</f>
        <v/>
      </c>
      <c r="J31" s="28" t="n"/>
      <c r="K31" s="16">
        <f>SUMIFS(Tabla5[cantidad],Tabla5[Codigo],Tabla3[[#This Row], [Codigo]])</f>
        <v/>
      </c>
      <c r="L31" s="16" t="n">
        <v>94580183</v>
      </c>
      <c r="M31" s="16">
        <f>SUMIFS(Tabla3[EXISTENCIA ACTUAL],Tabla3[CODIGO UNITARIO],Tabla3[[#This Row], [CODIGO UNITARIO]])</f>
        <v/>
      </c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>
        <f>IF(Tabla3[[#This Row], [EXISTENCIA ACTUAL]]=0,"Agotado",          IF(  Tabla3[[#This Row], [EXISTENCIA ACTUAL]]&lt;Tabla3[[#This Row], [STOCK MÍNIMO]],"Menor al Mìnimo",    "Ok") )</f>
        <v/>
      </c>
      <c r="I32" s="29">
        <f>IF(Tabla3[[#This Row], [EXISTENCIA ACTUAL]]=0,0,          IF(  Tabla3[[#This Row], [EXISTENCIA ACTUAL]]&lt;Tabla3[[#This Row], [STOCK MÍNIMO]],1,    2) )</f>
        <v/>
      </c>
      <c r="J32" s="28" t="n"/>
      <c r="K32" s="16">
        <f>SUMIFS(Tabla5[cantidad],Tabla5[Codigo],Tabla3[[#This Row], [Codigo]])</f>
        <v/>
      </c>
      <c r="L32" s="30" t="inlineStr">
        <is>
          <t>257-010</t>
        </is>
      </c>
      <c r="M32" s="16">
        <f>SUMIFS(Tabla3[EXISTENCIA ACTUAL],Tabla3[CODIGO UNITARIO],Tabla3[[#This Row], [CODIGO UNITARIO]])</f>
        <v/>
      </c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>
        <f>IF(Tabla3[[#This Row], [EXISTENCIA ACTUAL]]=0,"Agotado",          IF(  Tabla3[[#This Row], [EXISTENCIA ACTUAL]]&lt;Tabla3[[#This Row], [STOCK MÍNIMO]],"Menor al Mìnimo",    "Ok") )</f>
        <v/>
      </c>
      <c r="I33" s="29">
        <f>IF(Tabla3[[#This Row], [EXISTENCIA ACTUAL]]=0,0,          IF(  Tabla3[[#This Row], [EXISTENCIA ACTUAL]]&lt;Tabla3[[#This Row], [STOCK MÍNIMO]],1,    2) )</f>
        <v/>
      </c>
      <c r="J33" s="28" t="n"/>
      <c r="K33" s="16">
        <f>SUMIFS(Tabla5[cantidad],Tabla5[Codigo],Tabla3[[#This Row], [Codigo]])</f>
        <v/>
      </c>
      <c r="L33" s="30" t="inlineStr">
        <is>
          <t>257-010</t>
        </is>
      </c>
      <c r="M33" s="16">
        <f>SUMIFS(Tabla3[EXISTENCIA ACTUAL],Tabla3[CODIGO UNITARIO],Tabla3[[#This Row], [CODIGO UNITARIO]])</f>
        <v/>
      </c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>
        <f>IF(Tabla3[[#This Row], [EXISTENCIA ACTUAL]]=0,"Agotado",          IF(  Tabla3[[#This Row], [EXISTENCIA ACTUAL]]&lt;Tabla3[[#This Row], [STOCK MÍNIMO]],"Menor al Mìnimo",    "Ok") )</f>
        <v/>
      </c>
      <c r="I34" s="29">
        <f>IF(Tabla3[[#This Row], [EXISTENCIA ACTUAL]]=0,0,          IF(  Tabla3[[#This Row], [EXISTENCIA ACTUAL]]&lt;Tabla3[[#This Row], [STOCK MÍNIMO]],1,    2) )</f>
        <v/>
      </c>
      <c r="J34" s="28" t="n"/>
      <c r="K34" s="16">
        <f>SUMIFS(Tabla5[cantidad],Tabla5[Codigo],Tabla3[[#This Row], [Codigo]])</f>
        <v/>
      </c>
      <c r="L34" s="30" t="inlineStr">
        <is>
          <t>257-010</t>
        </is>
      </c>
      <c r="M34" s="16">
        <f>SUMIFS(Tabla3[EXISTENCIA ACTUAL],Tabla3[CODIGO UNITARIO],Tabla3[[#This Row], [CODIGO UNITARIO]])</f>
        <v/>
      </c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>
        <f>IF(Tabla3[[#This Row], [EXISTENCIA ACTUAL]]=0,"Agotado",          IF(  Tabla3[[#This Row], [EXISTENCIA ACTUAL]]&lt;Tabla3[[#This Row], [STOCK MÍNIMO]],"Menor al Mìnimo",    "Ok") )</f>
        <v/>
      </c>
      <c r="I35" s="29">
        <f>IF(Tabla3[[#This Row], [EXISTENCIA ACTUAL]]=0,0,          IF(  Tabla3[[#This Row], [EXISTENCIA ACTUAL]]&lt;Tabla3[[#This Row], [STOCK MÍNIMO]],1,    2) )</f>
        <v/>
      </c>
      <c r="J35" s="28" t="n"/>
      <c r="K35" s="16">
        <f>SUMIFS(Tabla5[cantidad],Tabla5[Codigo],Tabla3[[#This Row], [Codigo]])</f>
        <v/>
      </c>
      <c r="L35" s="32" t="inlineStr">
        <is>
          <t>87087</t>
        </is>
      </c>
      <c r="M35" s="16">
        <f>SUMIFS(Tabla3[EXISTENCIA ACTUAL],Tabla3[CODIGO UNITARIO],Tabla3[[#This Row], [CODIGO UNITARIO]])</f>
        <v/>
      </c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>
        <f>IF(Tabla3[[#This Row], [EXISTENCIA ACTUAL]]=0,"Agotado",          IF(  Tabla3[[#This Row], [EXISTENCIA ACTUAL]]&lt;Tabla3[[#This Row], [STOCK MÍNIMO]],"Menor al Mìnimo",    "Ok") )</f>
        <v/>
      </c>
      <c r="I36" s="29">
        <f>IF(Tabla3[[#This Row], [EXISTENCIA ACTUAL]]=0,0,          IF(  Tabla3[[#This Row], [EXISTENCIA ACTUAL]]&lt;Tabla3[[#This Row], [STOCK MÍNIMO]],1,    2) )</f>
        <v/>
      </c>
      <c r="J36" s="28" t="n"/>
      <c r="K36" s="16">
        <f>SUMIFS(Tabla5[cantidad],Tabla5[Codigo],Tabla3[[#This Row], [Codigo]])</f>
        <v/>
      </c>
      <c r="L36" s="16" t="n">
        <v>770101229</v>
      </c>
      <c r="M36" s="16">
        <f>SUMIFS(Tabla3[EXISTENCIA ACTUAL],Tabla3[CODIGO UNITARIO],Tabla3[[#This Row], [CODIGO UNITARIO]])</f>
        <v/>
      </c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>
        <f>IF(Tabla3[[#This Row], [EXISTENCIA ACTUAL]]=0,"Agotado",          IF(  Tabla3[[#This Row], [EXISTENCIA ACTUAL]]&lt;Tabla3[[#This Row], [STOCK MÍNIMO]],"Menor al Mìnimo",    "Ok") )</f>
        <v/>
      </c>
      <c r="I37" s="29">
        <f>IF(Tabla3[[#This Row], [EXISTENCIA ACTUAL]]=0,0,          IF(  Tabla3[[#This Row], [EXISTENCIA ACTUAL]]&lt;Tabla3[[#This Row], [STOCK MÍNIMO]],1,    2) )</f>
        <v/>
      </c>
      <c r="J37" s="28" t="n"/>
      <c r="K37" s="16">
        <f>SUMIFS(Tabla5[cantidad],Tabla5[Codigo],Tabla3[[#This Row], [Codigo]])</f>
        <v/>
      </c>
      <c r="L37" s="30" t="inlineStr">
        <is>
          <t>kre-3016</t>
        </is>
      </c>
      <c r="M37" s="16">
        <f>SUMIFS(Tabla3[EXISTENCIA ACTUAL],Tabla3[CODIGO UNITARIO],Tabla3[[#This Row], [CODIGO UNITARIO]])</f>
        <v/>
      </c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>
        <f>IF(Tabla3[[#This Row], [EXISTENCIA ACTUAL]]=0,"Agotado",          IF(  Tabla3[[#This Row], [EXISTENCIA ACTUAL]]&lt;Tabla3[[#This Row], [STOCK MÍNIMO]],"Menor al Mìnimo",    "Ok") )</f>
        <v/>
      </c>
      <c r="I38" s="29">
        <f>IF(Tabla3[[#This Row], [EXISTENCIA ACTUAL]]=0,0,          IF(  Tabla3[[#This Row], [EXISTENCIA ACTUAL]]&lt;Tabla3[[#This Row], [STOCK MÍNIMO]],1,    2) )</f>
        <v/>
      </c>
      <c r="J38" s="28" t="n"/>
      <c r="K38" s="16">
        <f>SUMIFS(Tabla5[cantidad],Tabla5[Codigo],Tabla3[[#This Row], [Codigo]])</f>
        <v/>
      </c>
      <c r="L38" s="16" t="n">
        <v>8200134513</v>
      </c>
      <c r="M38" s="16">
        <f>SUMIFS(Tabla3[EXISTENCIA ACTUAL],Tabla3[CODIGO UNITARIO],Tabla3[[#This Row], [CODIGO UNITARIO]])</f>
        <v/>
      </c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>
        <f>IF(Tabla3[[#This Row], [EXISTENCIA ACTUAL]]=0,"Agotado",          IF(  Tabla3[[#This Row], [EXISTENCIA ACTUAL]]&lt;Tabla3[[#This Row], [STOCK MÍNIMO]],"Menor al Mìnimo",    "Ok") )</f>
        <v/>
      </c>
      <c r="I39" s="31">
        <f>IF(Tabla3[[#This Row], [EXISTENCIA ACTUAL]]=0,0,          IF(  Tabla3[[#This Row], [EXISTENCIA ACTUAL]]&lt;Tabla3[[#This Row], [STOCK MÍNIMO]],1,    2) )</f>
        <v/>
      </c>
      <c r="J39" s="28" t="n"/>
      <c r="K39" s="16">
        <f>SUMIFS(Tabla5[cantidad],Tabla5[Codigo],Tabla3[[#This Row], [Codigo]])</f>
        <v/>
      </c>
      <c r="L39" s="30" t="inlineStr">
        <is>
          <t>ch-37</t>
        </is>
      </c>
      <c r="M39" s="16">
        <f>SUMIFS(Tabla3[EXISTENCIA ACTUAL],Tabla3[CODIGO UNITARIO],Tabla3[[#This Row], [CODIGO UNITARIO]])</f>
        <v/>
      </c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>
        <f>IF(Tabla3[[#This Row], [EXISTENCIA ACTUAL]]=0,"Agotado",          IF(  Tabla3[[#This Row], [EXISTENCIA ACTUAL]]&lt;Tabla3[[#This Row], [STOCK MÍNIMO]],"Menor al Mìnimo",    "Ok") )</f>
        <v/>
      </c>
      <c r="I40" s="29">
        <f>IF(Tabla3[[#This Row], [EXISTENCIA ACTUAL]]=0,0,          IF(  Tabla3[[#This Row], [EXISTENCIA ACTUAL]]&lt;Tabla3[[#This Row], [STOCK MÍNIMO]],1,    2) )</f>
        <v/>
      </c>
      <c r="J40" s="28" t="n"/>
      <c r="K40" s="16">
        <f>SUMIFS(Tabla5[cantidad],Tabla5[Codigo],Tabla3[[#This Row], [Codigo]])</f>
        <v/>
      </c>
      <c r="L40" s="18" t="inlineStr">
        <is>
          <t>E356-15-290</t>
        </is>
      </c>
      <c r="M40" s="16">
        <f>SUMIFS(Tabla3[EXISTENCIA ACTUAL],Tabla3[CODIGO UNITARIO],Tabla3[[#This Row], [CODIGO UNITARIO]])</f>
        <v/>
      </c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>
        <f>IF(Tabla3[[#This Row], [EXISTENCIA ACTUAL]]=0,"Agotado",          IF(  Tabla3[[#This Row], [EXISTENCIA ACTUAL]]&lt;Tabla3[[#This Row], [STOCK MÍNIMO]],"Menor al Mìnimo",    "Ok") )</f>
        <v/>
      </c>
      <c r="I41" s="29">
        <f>IF(Tabla3[[#This Row], [EXISTENCIA ACTUAL]]=0,0,          IF(  Tabla3[[#This Row], [EXISTENCIA ACTUAL]]&lt;Tabla3[[#This Row], [STOCK MÍNIMO]],1,    2) )</f>
        <v/>
      </c>
      <c r="J41" s="28" t="n"/>
      <c r="K41" s="16">
        <f>SUMIFS(Tabla5[cantidad],Tabla5[Codigo],Tabla3[[#This Row], [Codigo]])</f>
        <v/>
      </c>
      <c r="L41" s="32" t="inlineStr">
        <is>
          <t>93229708</t>
        </is>
      </c>
      <c r="M41" s="16">
        <f>SUMIFS(Tabla3[EXISTENCIA ACTUAL],Tabla3[CODIGO UNITARIO],Tabla3[[#This Row], [CODIGO UNITARIO]])</f>
        <v/>
      </c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>
        <f>IF(Tabla3[[#This Row], [EXISTENCIA ACTUAL]]=0,"Agotado",          IF(  Tabla3[[#This Row], [EXISTENCIA ACTUAL]]&lt;Tabla3[[#This Row], [STOCK MÍNIMO]],"Menor al Mìnimo",    "Ok") )</f>
        <v/>
      </c>
      <c r="I42" s="31">
        <f>IF(Tabla3[[#This Row], [EXISTENCIA ACTUAL]]=0,0,          IF(  Tabla3[[#This Row], [EXISTENCIA ACTUAL]]&lt;Tabla3[[#This Row], [STOCK MÍNIMO]],1,    2) )</f>
        <v/>
      </c>
      <c r="J42" s="28" t="n"/>
      <c r="K42" s="16">
        <f>SUMIFS(Tabla5[cantidad],Tabla5[Codigo],Tabla3[[#This Row], [Codigo]])</f>
        <v/>
      </c>
      <c r="L42" s="32" t="inlineStr">
        <is>
          <t>11735</t>
        </is>
      </c>
      <c r="M42" s="16">
        <f>SUMIFS(Tabla3[EXISTENCIA ACTUAL],Tabla3[CODIGO UNITARIO],Tabla3[[#This Row], [CODIGO UNITARIO]])</f>
        <v/>
      </c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>
        <f>IF(Tabla3[[#This Row], [EXISTENCIA ACTUAL]]=0,"Agotado",          IF(  Tabla3[[#This Row], [EXISTENCIA ACTUAL]]&lt;Tabla3[[#This Row], [STOCK MÍNIMO]],"Menor al Mìnimo",    "Ok") )</f>
        <v/>
      </c>
      <c r="I43" s="29">
        <f>IF(Tabla3[[#This Row], [EXISTENCIA ACTUAL]]=0,0,          IF(  Tabla3[[#This Row], [EXISTENCIA ACTUAL]]&lt;Tabla3[[#This Row], [STOCK MÍNIMO]],1,    2) )</f>
        <v/>
      </c>
      <c r="J43" s="28" t="n"/>
      <c r="K43" s="16">
        <f>SUMIFS(Tabla5[cantidad],Tabla5[Codigo],Tabla3[[#This Row], [Codigo]])</f>
        <v/>
      </c>
      <c r="L43" s="16" t="n">
        <v>770101229</v>
      </c>
      <c r="M43" s="16">
        <f>SUMIFS(Tabla3[EXISTENCIA ACTUAL],Tabla3[CODIGO UNITARIO],Tabla3[[#This Row], [CODIGO UNITARIO]])</f>
        <v/>
      </c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>
        <f>IF(Tabla3[[#This Row], [EXISTENCIA ACTUAL]]=0,"Agotado",          IF(  Tabla3[[#This Row], [EXISTENCIA ACTUAL]]&lt;Tabla3[[#This Row], [STOCK MÍNIMO]],"Menor al Mìnimo",    "Ok") )</f>
        <v/>
      </c>
      <c r="I44" s="31">
        <f>IF(Tabla3[[#This Row], [EXISTENCIA ACTUAL]]=0,0,          IF(  Tabla3[[#This Row], [EXISTENCIA ACTUAL]]&lt;Tabla3[[#This Row], [STOCK MÍNIMO]],1,    2) )</f>
        <v/>
      </c>
      <c r="J44" s="28" t="n"/>
      <c r="K44" s="16">
        <f>SUMIFS(Tabla5[cantidad],Tabla5[Codigo],Tabla3[[#This Row], [Codigo]])</f>
        <v/>
      </c>
      <c r="L44" s="18" t="inlineStr">
        <is>
          <t>Ee501-15-290</t>
        </is>
      </c>
      <c r="M44" s="16">
        <f>SUMIFS(Tabla3[EXISTENCIA ACTUAL],Tabla3[CODIGO UNITARIO],Tabla3[[#This Row], [CODIGO UNITARIO]])</f>
        <v/>
      </c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>
        <f>IF(Tabla3[[#This Row], [EXISTENCIA ACTUAL]]=0,"Agotado",          IF(  Tabla3[[#This Row], [EXISTENCIA ACTUAL]]&lt;Tabla3[[#This Row], [STOCK MÍNIMO]],"Menor al Mìnimo",    "Ok") )</f>
        <v/>
      </c>
      <c r="I45" s="29">
        <f>IF(Tabla3[[#This Row], [EXISTENCIA ACTUAL]]=0,0,          IF(  Tabla3[[#This Row], [EXISTENCIA ACTUAL]]&lt;Tabla3[[#This Row], [STOCK MÍNIMO]],1,    2) )</f>
        <v/>
      </c>
      <c r="J45" s="28" t="n"/>
      <c r="K45" s="16">
        <f>SUMIFS(Tabla5[cantidad],Tabla5[Codigo],Tabla3[[#This Row], [Codigo]])</f>
        <v/>
      </c>
      <c r="L45" s="18" t="inlineStr">
        <is>
          <t>KRE-3102</t>
        </is>
      </c>
      <c r="M45" s="16">
        <f>SUMIFS(Tabla3[EXISTENCIA ACTUAL],Tabla3[CODIGO UNITARIO],Tabla3[[#This Row], [CODIGO UNITARIO]])</f>
        <v/>
      </c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>
        <f>IF(Tabla3[[#This Row], [EXISTENCIA ACTUAL]]=0,"Agotado",          IF(  Tabla3[[#This Row], [EXISTENCIA ACTUAL]]&lt;Tabla3[[#This Row], [STOCK MÍNIMO]],"Menor al Mìnimo",    "Ok") )</f>
        <v/>
      </c>
      <c r="I46" s="29">
        <f>IF(Tabla3[[#This Row], [EXISTENCIA ACTUAL]]=0,0,          IF(  Tabla3[[#This Row], [EXISTENCIA ACTUAL]]&lt;Tabla3[[#This Row], [STOCK MÍNIMO]],1,    2) )</f>
        <v/>
      </c>
      <c r="J46" s="28" t="n"/>
      <c r="K46" s="16">
        <f>SUMIFS(Tabla5[cantidad],Tabla5[Codigo],Tabla3[[#This Row], [Codigo]])</f>
        <v/>
      </c>
      <c r="L46" s="18" t="inlineStr">
        <is>
          <t>B61K-15-290B</t>
        </is>
      </c>
      <c r="M46" s="16">
        <f>SUMIFS(Tabla3[EXISTENCIA ACTUAL],Tabla3[CODIGO UNITARIO],Tabla3[[#This Row], [CODIGO UNITARIO]])</f>
        <v/>
      </c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>
        <f>IF(Tabla3[[#This Row], [EXISTENCIA ACTUAL]]=0,"Agotado",          IF(  Tabla3[[#This Row], [EXISTENCIA ACTUAL]]&lt;Tabla3[[#This Row], [STOCK MÍNIMO]],"Menor al Mìnimo",    "Ok") )</f>
        <v/>
      </c>
      <c r="I47" s="31">
        <f>IF(Tabla3[[#This Row], [EXISTENCIA ACTUAL]]=0,0,          IF(  Tabla3[[#This Row], [EXISTENCIA ACTUAL]]&lt;Tabla3[[#This Row], [STOCK MÍNIMO]],1,    2) )</f>
        <v/>
      </c>
      <c r="J47" s="28" t="n"/>
      <c r="K47" s="16">
        <f>SUMIFS(Tabla5[cantidad],Tabla5[Codigo],Tabla3[[#This Row], [Codigo]])</f>
        <v/>
      </c>
      <c r="L47" s="30" t="inlineStr">
        <is>
          <t>kre-3106</t>
        </is>
      </c>
      <c r="M47" s="16">
        <f>SUMIFS(Tabla3[EXISTENCIA ACTUAL],Tabla3[CODIGO UNITARIO],Tabla3[[#This Row], [CODIGO UNITARIO]])</f>
        <v/>
      </c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>
        <f>IF(Tabla3[[#This Row], [EXISTENCIA ACTUAL]]=0,"Agotado",          IF(  Tabla3[[#This Row], [EXISTENCIA ACTUAL]]&lt;Tabla3[[#This Row], [STOCK MÍNIMO]],"Menor al Mìnimo",    "Ok") )</f>
        <v/>
      </c>
      <c r="I48" s="29">
        <f>IF(Tabla3[[#This Row], [EXISTENCIA ACTUAL]]=0,0,          IF(  Tabla3[[#This Row], [EXISTENCIA ACTUAL]]&lt;Tabla3[[#This Row], [STOCK MÍNIMO]],1,    2) )</f>
        <v/>
      </c>
      <c r="J48" s="28" t="n"/>
      <c r="K48" s="16">
        <f>SUMIFS(Tabla5[cantidad],Tabla5[Codigo],Tabla3[[#This Row], [Codigo]])</f>
        <v/>
      </c>
      <c r="L48" s="30" t="inlineStr">
        <is>
          <t>ch-37</t>
        </is>
      </c>
      <c r="M48" s="16">
        <f>SUMIFS(Tabla3[EXISTENCIA ACTUAL],Tabla3[CODIGO UNITARIO],Tabla3[[#This Row], [CODIGO UNITARIO]])</f>
        <v/>
      </c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>
        <f>IF(Tabla3[[#This Row], [EXISTENCIA ACTUAL]]=0,"Agotado",          IF(  Tabla3[[#This Row], [EXISTENCIA ACTUAL]]&lt;Tabla3[[#This Row], [STOCK MÍNIMO]],"Menor al Mìnimo",    "Ok") )</f>
        <v/>
      </c>
      <c r="I49" s="29">
        <f>IF(Tabla3[[#This Row], [EXISTENCIA ACTUAL]]=0,0,          IF(  Tabla3[[#This Row], [EXISTENCIA ACTUAL]]&lt;Tabla3[[#This Row], [STOCK MÍNIMO]],1,    2) )</f>
        <v/>
      </c>
      <c r="J49" s="28" t="n"/>
      <c r="K49" s="16">
        <f>SUMIFS(Tabla5[cantidad],Tabla5[Codigo],Tabla3[[#This Row], [Codigo]])</f>
        <v/>
      </c>
      <c r="L49" s="30" t="inlineStr">
        <is>
          <t>kre-3102</t>
        </is>
      </c>
      <c r="M49" s="16">
        <f>SUMIFS(Tabla3[EXISTENCIA ACTUAL],Tabla3[CODIGO UNITARIO],Tabla3[[#This Row], [CODIGO UNITARIO]])</f>
        <v/>
      </c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>
        <f>IF(Tabla3[[#This Row], [EXISTENCIA ACTUAL]]=0,"Agotado",          IF(  Tabla3[[#This Row], [EXISTENCIA ACTUAL]]&lt;Tabla3[[#This Row], [STOCK MÍNIMO]],"Menor al Mìnimo",    "Ok") )</f>
        <v/>
      </c>
      <c r="I50" s="31">
        <f>IF(Tabla3[[#This Row], [EXISTENCIA ACTUAL]]=0,0,          IF(  Tabla3[[#This Row], [EXISTENCIA ACTUAL]]&lt;Tabla3[[#This Row], [STOCK MÍNIMO]],1,    2) )</f>
        <v/>
      </c>
      <c r="J50" s="28" t="n"/>
      <c r="K50" s="16">
        <f>SUMIFS(Tabla5[cantidad],Tabla5[Codigo],Tabla3[[#This Row], [Codigo]])</f>
        <v/>
      </c>
      <c r="L50" s="30" t="inlineStr">
        <is>
          <t>ch-66</t>
        </is>
      </c>
      <c r="M50" s="16">
        <f>SUMIFS(Tabla3[EXISTENCIA ACTUAL],Tabla3[CODIGO UNITARIO],Tabla3[[#This Row], [CODIGO UNITARIO]])</f>
        <v/>
      </c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>
        <f>IF(Tabla3[[#This Row], [EXISTENCIA ACTUAL]]=0,"Agotado",          IF(  Tabla3[[#This Row], [EXISTENCIA ACTUAL]]&lt;Tabla3[[#This Row], [STOCK MÍNIMO]],"Menor al Mìnimo",    "Ok") )</f>
        <v/>
      </c>
      <c r="I51" s="31">
        <f>IF(Tabla3[[#This Row], [EXISTENCIA ACTUAL]]=0,0,          IF(  Tabla3[[#This Row], [EXISTENCIA ACTUAL]]&lt;Tabla3[[#This Row], [STOCK MÍNIMO]],1,    2) )</f>
        <v/>
      </c>
      <c r="J51" s="28" t="n"/>
      <c r="K51" s="16">
        <f>SUMIFS(Tabla5[cantidad],Tabla5[Codigo],Tabla3[[#This Row], [Codigo]])</f>
        <v/>
      </c>
      <c r="L51" s="16" t="n">
        <v>25632</v>
      </c>
      <c r="M51" s="16">
        <f>SUMIFS(Tabla3[EXISTENCIA ACTUAL],Tabla3[CODIGO UNITARIO],Tabla3[[#This Row], [CODIGO UNITARIO]])</f>
        <v/>
      </c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>
        <f>IF(Tabla3[[#This Row], [EXISTENCIA ACTUAL]]=0,"Agotado",          IF(  Tabla3[[#This Row], [EXISTENCIA ACTUAL]]&lt;Tabla3[[#This Row], [STOCK MÍNIMO]],"Menor al Mìnimo",    "Ok") )</f>
        <v/>
      </c>
      <c r="I52" s="31">
        <f>IF(Tabla3[[#This Row], [EXISTENCIA ACTUAL]]=0,0,          IF(  Tabla3[[#This Row], [EXISTENCIA ACTUAL]]&lt;Tabla3[[#This Row], [STOCK MÍNIMO]],1,    2) )</f>
        <v/>
      </c>
      <c r="J52" s="28" t="n"/>
      <c r="K52" s="16">
        <f>SUMIFS(Tabla5[cantidad],Tabla5[Codigo],Tabla3[[#This Row], [Codigo]])</f>
        <v/>
      </c>
      <c r="L52" s="30" t="inlineStr">
        <is>
          <t>ch-78</t>
        </is>
      </c>
      <c r="M52" s="16">
        <f>SUMIFS(Tabla3[EXISTENCIA ACTUAL],Tabla3[CODIGO UNITARIO],Tabla3[[#This Row], [CODIGO UNITARIO]])</f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n">
        <v>45184</v>
      </c>
      <c r="B2" s="18" t="inlineStr">
        <is>
          <t>ch-38</t>
        </is>
      </c>
      <c r="C2" s="15" t="inlineStr">
        <is>
          <t xml:space="preserve">tubo paso agua corsa^ 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>
        <f>TEXT(Tabla5[[#This Row], [Fecha]],"MMMM") &amp; TEXT(Tabla5[[#This Row], [Fecha]],"yy")</f>
        <v/>
      </c>
      <c r="I2" s="16" t="n">
        <v>3</v>
      </c>
      <c r="J2" s="28" t="n"/>
      <c r="K2" s="28" t="n"/>
      <c r="L2" s="28" t="n"/>
      <c r="M2" s="28" t="n"/>
      <c r="N2" s="16" t="n"/>
      <c r="O2" s="16">
        <f>IF(Tabla5[[#This Row], [¿perdida anormal?]]=1,SUMIF(Tabla5[[#This Row], [cantidad]],"&gt;0"),0)</f>
        <v/>
      </c>
      <c r="P2" s="16">
        <f>IF(Tabla5[[#This Row], [¿perdida anormal?]]=1,SUMIF(Tabla5[[#This Row], [cantidad]],"&lt;0")*-1,0)</f>
        <v/>
      </c>
      <c r="Q2" s="16">
        <f>IF(Tabla5[[#This Row], [¿devolución?]]=1,SUMIF(Tabla5[[#This Row], [cantidad]],"&lt;0")*-1,0)</f>
        <v/>
      </c>
      <c r="R2" s="16">
        <f>IF(Tabla5[[#This Row], [¿devolución?]]=1,SUMIF(Tabla5[[#This Row], [cantidad]],"&gt;0"),0)</f>
        <v/>
      </c>
      <c r="S2" s="16">
        <f>SUMIFS(Tabla5[[#This Row], [cantidad]],Tabla5[[#This Row], [cantidad]],"&lt;0",Tabla5[[#This Row], [¿devolución?]],"",Tabla5[[#This Row], [¿perdida anormal?]],"")</f>
        <v/>
      </c>
      <c r="T2" s="16">
        <f>SUMIFS(Tabla5[[#This Row], [cantidad]],Tabla5[[#This Row], [cantidad]],"&gt;0",Tabla5[[#This Row], [¿devolución?]],"",Tabla5[[#This Row], [¿perdida anormal?]],"")</f>
        <v/>
      </c>
      <c r="U2" s="16">
        <f>IFERROR(Tabla5[[#This Row], [CANT VENDIDA]]*Tabla5[[#This Row], [Costo unitario]],0)</f>
        <v/>
      </c>
      <c r="V2" s="13">
        <f>IFERROR(Tabla5[[#This Row], [CANT ADQUIRIDA]]*Tabla5[[#This Row], [Costo unitario]],0)</f>
        <v/>
      </c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>
        <f>TEXT(Tabla5[[#This Row], [Fecha]],"MMMM") &amp; TEXT(Tabla5[[#This Row], [Fecha]],"yy")</f>
        <v/>
      </c>
      <c r="I3" s="16" t="n">
        <v>1</v>
      </c>
      <c r="J3" s="28" t="n"/>
      <c r="K3" s="28" t="n"/>
      <c r="L3" s="28" t="n"/>
      <c r="M3" s="28" t="n"/>
      <c r="N3" s="16" t="n"/>
      <c r="O3" s="16">
        <f>IF(Tabla5[[#This Row], [¿perdida anormal?]]=1,SUMIF(Tabla5[[#This Row], [cantidad]],"&gt;0"),0)</f>
        <v/>
      </c>
      <c r="P3" s="16">
        <f>IF(Tabla5[[#This Row], [¿perdida anormal?]]=1,SUMIF(Tabla5[[#This Row], [cantidad]],"&lt;0")*-1,0)</f>
        <v/>
      </c>
      <c r="Q3" s="16">
        <f>IF(Tabla5[[#This Row], [¿devolución?]]=1,SUMIF(Tabla5[[#This Row], [cantidad]],"&lt;0")*-1,0)</f>
        <v/>
      </c>
      <c r="R3" s="16">
        <f>IF(Tabla5[[#This Row], [¿devolución?]]=1,SUMIF(Tabla5[[#This Row], [cantidad]],"&gt;0"),0)</f>
        <v/>
      </c>
      <c r="S3" s="16">
        <f>SUMIFS(Tabla5[[#This Row], [cantidad]],Tabla5[[#This Row], [cantidad]],"&lt;0",Tabla5[[#This Row], [¿devolución?]],"",Tabla5[[#This Row], [¿perdida anormal?]],"")</f>
        <v/>
      </c>
      <c r="T3" s="16">
        <f>SUMIFS(Tabla5[[#This Row], [cantidad]],Tabla5[[#This Row], [cantidad]],"&gt;0",Tabla5[[#This Row], [¿devolución?]],"",Tabla5[[#This Row], [¿perdida anormal?]],"")</f>
        <v/>
      </c>
      <c r="U3" s="16">
        <f>IFERROR(Tabla5[[#This Row], [CANT VENDIDA]]*Tabla5[[#This Row], [Costo unitario]],0)</f>
        <v/>
      </c>
      <c r="V3" s="13">
        <f>IFERROR(Tabla5[[#This Row], [CANT ADQUIRIDA]]*Tabla5[[#This Row], [Costo unitario]],0)</f>
        <v/>
      </c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>
        <f>TEXT(Tabla5[[#This Row], [Fecha]],"MMMM") &amp; TEXT(Tabla5[[#This Row], [Fecha]],"yy")</f>
        <v/>
      </c>
      <c r="I4" s="16" t="n">
        <v>31</v>
      </c>
      <c r="J4" s="28" t="n"/>
      <c r="K4" s="28" t="n"/>
      <c r="L4" s="28" t="n"/>
      <c r="M4" s="28" t="n"/>
      <c r="N4" s="16" t="n"/>
      <c r="O4" s="16">
        <f>IF(Tabla5[[#This Row], [¿perdida anormal?]]=1,SUMIF(Tabla5[[#This Row], [cantidad]],"&gt;0"),0)</f>
        <v/>
      </c>
      <c r="P4" s="16">
        <f>IF(Tabla5[[#This Row], [¿perdida anormal?]]=1,SUMIF(Tabla5[[#This Row], [cantidad]],"&lt;0")*-1,0)</f>
        <v/>
      </c>
      <c r="Q4" s="16">
        <f>IF(Tabla5[[#This Row], [¿devolución?]]=1,SUMIF(Tabla5[[#This Row], [cantidad]],"&lt;0")*-1,0)</f>
        <v/>
      </c>
      <c r="R4" s="16">
        <f>IF(Tabla5[[#This Row], [¿devolución?]]=1,SUMIF(Tabla5[[#This Row], [cantidad]],"&gt;0"),0)</f>
        <v/>
      </c>
      <c r="S4" s="16">
        <f>SUMIFS(Tabla5[[#This Row], [cantidad]],Tabla5[[#This Row], [cantidad]],"&lt;0",Tabla5[[#This Row], [¿devolución?]],"",Tabla5[[#This Row], [¿perdida anormal?]],"")</f>
        <v/>
      </c>
      <c r="T4" s="16">
        <f>SUMIFS(Tabla5[[#This Row], [cantidad]],Tabla5[[#This Row], [cantidad]],"&gt;0",Tabla5[[#This Row], [¿devolución?]],"",Tabla5[[#This Row], [¿perdida anormal?]],"")</f>
        <v/>
      </c>
      <c r="U4" s="16">
        <f>IFERROR(Tabla5[[#This Row], [CANT VENDIDA]]*Tabla5[[#This Row], [Costo unitario]],0)</f>
        <v/>
      </c>
      <c r="V4" s="13">
        <f>IFERROR(Tabla5[[#This Row], [CANT ADQUIRIDA]]*Tabla5[[#This Row], [Costo unitario]],0)</f>
        <v/>
      </c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>
        <f>TEXT(Tabla5[[#This Row], [Fecha]],"MMMM") &amp; TEXT(Tabla5[[#This Row], [Fecha]],"yy")</f>
        <v/>
      </c>
      <c r="I5" s="16" t="n">
        <v>22</v>
      </c>
      <c r="J5" s="28" t="n"/>
      <c r="K5" s="28" t="n"/>
      <c r="L5" s="28" t="n"/>
      <c r="M5" s="28" t="n"/>
      <c r="N5" s="16" t="n"/>
      <c r="O5" s="16">
        <f>IF(Tabla5[[#This Row], [¿perdida anormal?]]=1,SUMIF(Tabla5[[#This Row], [cantidad]],"&gt;0"),0)</f>
        <v/>
      </c>
      <c r="P5" s="16">
        <f>IF(Tabla5[[#This Row], [¿perdida anormal?]]=1,SUMIF(Tabla5[[#This Row], [cantidad]],"&lt;0")*-1,0)</f>
        <v/>
      </c>
      <c r="Q5" s="16">
        <f>IF(Tabla5[[#This Row], [¿devolución?]]=1,SUMIF(Tabla5[[#This Row], [cantidad]],"&lt;0")*-1,0)</f>
        <v/>
      </c>
      <c r="R5" s="16">
        <f>IF(Tabla5[[#This Row], [¿devolución?]]=1,SUMIF(Tabla5[[#This Row], [cantidad]],"&gt;0"),0)</f>
        <v/>
      </c>
      <c r="S5" s="16">
        <f>SUMIFS(Tabla5[[#This Row], [cantidad]],Tabla5[[#This Row], [cantidad]],"&lt;0",Tabla5[[#This Row], [¿devolución?]],"",Tabla5[[#This Row], [¿perdida anormal?]],"")</f>
        <v/>
      </c>
      <c r="T5" s="16">
        <f>SUMIFS(Tabla5[[#This Row], [cantidad]],Tabla5[[#This Row], [cantidad]],"&gt;0",Tabla5[[#This Row], [¿devolución?]],"",Tabla5[[#This Row], [¿perdida anormal?]],"")</f>
        <v/>
      </c>
      <c r="U5" s="16">
        <f>IFERROR(Tabla5[[#This Row], [CANT VENDIDA]]*Tabla5[[#This Row], [Costo unitario]],0)</f>
        <v/>
      </c>
      <c r="V5" s="13">
        <f>IFERROR(Tabla5[[#This Row], [CANT ADQUIRIDA]]*Tabla5[[#This Row], [Costo unitario]],0)</f>
        <v/>
      </c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>
        <f>TEXT(Tabla5[[#This Row], [Fecha]],"MMMM") &amp; TEXT(Tabla5[[#This Row], [Fecha]],"yy")</f>
        <v/>
      </c>
      <c r="I6" s="16" t="n">
        <v>1</v>
      </c>
      <c r="J6" s="28" t="n"/>
      <c r="K6" s="28" t="n"/>
      <c r="L6" s="28" t="n"/>
      <c r="M6" s="28" t="n"/>
      <c r="N6" s="16" t="n"/>
      <c r="O6" s="16">
        <f>IF(Tabla5[[#This Row], [¿perdida anormal?]]=1,SUMIF(Tabla5[[#This Row], [cantidad]],"&gt;0"),0)</f>
        <v/>
      </c>
      <c r="P6" s="16">
        <f>IF(Tabla5[[#This Row], [¿perdida anormal?]]=1,SUMIF(Tabla5[[#This Row], [cantidad]],"&lt;0")*-1,0)</f>
        <v/>
      </c>
      <c r="Q6" s="16">
        <f>IF(Tabla5[[#This Row], [¿devolución?]]=1,SUMIF(Tabla5[[#This Row], [cantidad]],"&lt;0")*-1,0)</f>
        <v/>
      </c>
      <c r="R6" s="16">
        <f>IF(Tabla5[[#This Row], [¿devolución?]]=1,SUMIF(Tabla5[[#This Row], [cantidad]],"&gt;0"),0)</f>
        <v/>
      </c>
      <c r="S6" s="16">
        <f>SUMIFS(Tabla5[[#This Row], [cantidad]],Tabla5[[#This Row], [cantidad]],"&lt;0",Tabla5[[#This Row], [¿devolución?]],"",Tabla5[[#This Row], [¿perdida anormal?]],"")</f>
        <v/>
      </c>
      <c r="T6" s="16">
        <f>SUMIFS(Tabla5[[#This Row], [cantidad]],Tabla5[[#This Row], [cantidad]],"&gt;0",Tabla5[[#This Row], [¿devolución?]],"",Tabla5[[#This Row], [¿perdida anormal?]],"")</f>
        <v/>
      </c>
      <c r="U6" s="16">
        <f>IFERROR(Tabla5[[#This Row], [CANT VENDIDA]]*Tabla5[[#This Row], [Costo unitario]],0)</f>
        <v/>
      </c>
      <c r="V6" s="13">
        <f>IFERROR(Tabla5[[#This Row], [CANT ADQUIRIDA]]*Tabla5[[#This Row], [Costo unitario]],0)</f>
        <v/>
      </c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>
        <f>TEXT(Tabla5[[#This Row], [Fecha]],"MMMM") &amp; TEXT(Tabla5[[#This Row], [Fecha]],"yy")</f>
        <v/>
      </c>
      <c r="I7" s="16" t="n">
        <v>3</v>
      </c>
      <c r="J7" s="28" t="n"/>
      <c r="K7" s="28" t="n"/>
      <c r="L7" s="28" t="n"/>
      <c r="M7" s="28" t="n"/>
      <c r="N7" s="16" t="n"/>
      <c r="O7" s="16">
        <f>IF(Tabla5[[#This Row], [¿perdida anormal?]]=1,SUMIF(Tabla5[[#This Row], [cantidad]],"&gt;0"),0)</f>
        <v/>
      </c>
      <c r="P7" s="16">
        <f>IF(Tabla5[[#This Row], [¿perdida anormal?]]=1,SUMIF(Tabla5[[#This Row], [cantidad]],"&lt;0")*-1,0)</f>
        <v/>
      </c>
      <c r="Q7" s="16">
        <f>IF(Tabla5[[#This Row], [¿devolución?]]=1,SUMIF(Tabla5[[#This Row], [cantidad]],"&lt;0")*-1,0)</f>
        <v/>
      </c>
      <c r="R7" s="16">
        <f>IF(Tabla5[[#This Row], [¿devolución?]]=1,SUMIF(Tabla5[[#This Row], [cantidad]],"&gt;0"),0)</f>
        <v/>
      </c>
      <c r="S7" s="16">
        <f>SUMIFS(Tabla5[[#This Row], [cantidad]],Tabla5[[#This Row], [cantidad]],"&lt;0",Tabla5[[#This Row], [¿devolución?]],"",Tabla5[[#This Row], [¿perdida anormal?]],"")</f>
        <v/>
      </c>
      <c r="T7" s="16">
        <f>SUMIFS(Tabla5[[#This Row], [cantidad]],Tabla5[[#This Row], [cantidad]],"&gt;0",Tabla5[[#This Row], [¿devolución?]],"",Tabla5[[#This Row], [¿perdida anormal?]],"")</f>
        <v/>
      </c>
      <c r="U7" s="16">
        <f>IFERROR(Tabla5[[#This Row], [CANT VENDIDA]]*Tabla5[[#This Row], [Costo unitario]],0)</f>
        <v/>
      </c>
      <c r="V7" s="13">
        <f>IFERROR(Tabla5[[#This Row], [CANT ADQUIRIDA]]*Tabla5[[#This Row], [Costo unitario]],0)</f>
        <v/>
      </c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>
        <f>TEXT(Tabla5[[#This Row], [Fecha]],"MMMM") &amp; TEXT(Tabla5[[#This Row], [Fecha]],"yy")</f>
        <v/>
      </c>
      <c r="I8" s="16" t="n">
        <v>2</v>
      </c>
      <c r="J8" s="28" t="n"/>
      <c r="K8" s="28" t="n"/>
      <c r="L8" s="28" t="n"/>
      <c r="M8" s="28" t="n"/>
      <c r="N8" s="16" t="n"/>
      <c r="O8" s="16">
        <f>IF(Tabla5[[#This Row], [¿perdida anormal?]]=1,SUMIF(Tabla5[[#This Row], [cantidad]],"&gt;0"),0)</f>
        <v/>
      </c>
      <c r="P8" s="16">
        <f>IF(Tabla5[[#This Row], [¿perdida anormal?]]=1,SUMIF(Tabla5[[#This Row], [cantidad]],"&lt;0")*-1,0)</f>
        <v/>
      </c>
      <c r="Q8" s="16">
        <f>IF(Tabla5[[#This Row], [¿devolución?]]=1,SUMIF(Tabla5[[#This Row], [cantidad]],"&lt;0")*-1,0)</f>
        <v/>
      </c>
      <c r="R8" s="16">
        <f>IF(Tabla5[[#This Row], [¿devolución?]]=1,SUMIF(Tabla5[[#This Row], [cantidad]],"&gt;0"),0)</f>
        <v/>
      </c>
      <c r="S8" s="16">
        <f>SUMIFS(Tabla5[[#This Row], [cantidad]],Tabla5[[#This Row], [cantidad]],"&lt;0",Tabla5[[#This Row], [¿devolución?]],"",Tabla5[[#This Row], [¿perdida anormal?]],"")</f>
        <v/>
      </c>
      <c r="T8" s="16">
        <f>SUMIFS(Tabla5[[#This Row], [cantidad]],Tabla5[[#This Row], [cantidad]],"&gt;0",Tabla5[[#This Row], [¿devolución?]],"",Tabla5[[#This Row], [¿perdida anormal?]],"")</f>
        <v/>
      </c>
      <c r="U8" s="16">
        <f>IFERROR(Tabla5[[#This Row], [CANT VENDIDA]]*Tabla5[[#This Row], [Costo unitario]],0)</f>
        <v/>
      </c>
      <c r="V8" s="13">
        <f>IFERROR(Tabla5[[#This Row], [CANT ADQUIRIDA]]*Tabla5[[#This Row], [Costo unitario]],0)</f>
        <v/>
      </c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>
        <f>TEXT(Tabla5[[#This Row], [Fecha]],"MMMM") &amp; TEXT(Tabla5[[#This Row], [Fecha]],"yy")</f>
        <v/>
      </c>
      <c r="I9" s="16" t="n">
        <v>4</v>
      </c>
      <c r="J9" s="28" t="n"/>
      <c r="K9" s="28" t="n"/>
      <c r="L9" s="28" t="n"/>
      <c r="M9" s="28" t="n"/>
      <c r="N9" s="16" t="n"/>
      <c r="O9" s="16">
        <f>IF(Tabla5[[#This Row], [¿perdida anormal?]]=1,SUMIF(Tabla5[[#This Row], [cantidad]],"&gt;0"),0)</f>
        <v/>
      </c>
      <c r="P9" s="16">
        <f>IF(Tabla5[[#This Row], [¿perdida anormal?]]=1,SUMIF(Tabla5[[#This Row], [cantidad]],"&lt;0")*-1,0)</f>
        <v/>
      </c>
      <c r="Q9" s="16">
        <f>IF(Tabla5[[#This Row], [¿devolución?]]=1,SUMIF(Tabla5[[#This Row], [cantidad]],"&lt;0")*-1,0)</f>
        <v/>
      </c>
      <c r="R9" s="16">
        <f>IF(Tabla5[[#This Row], [¿devolución?]]=1,SUMIF(Tabla5[[#This Row], [cantidad]],"&gt;0"),0)</f>
        <v/>
      </c>
      <c r="S9" s="16">
        <f>SUMIFS(Tabla5[[#This Row], [cantidad]],Tabla5[[#This Row], [cantidad]],"&lt;0",Tabla5[[#This Row], [¿devolución?]],"",Tabla5[[#This Row], [¿perdida anormal?]],"")</f>
        <v/>
      </c>
      <c r="T9" s="16">
        <f>SUMIFS(Tabla5[[#This Row], [cantidad]],Tabla5[[#This Row], [cantidad]],"&gt;0",Tabla5[[#This Row], [¿devolución?]],"",Tabla5[[#This Row], [¿perdida anormal?]],"")</f>
        <v/>
      </c>
      <c r="U9" s="16">
        <f>IFERROR(Tabla5[[#This Row], [CANT VENDIDA]]*Tabla5[[#This Row], [Costo unitario]],0)</f>
        <v/>
      </c>
      <c r="V9" s="13">
        <f>IFERROR(Tabla5[[#This Row], [CANT ADQUIRIDA]]*Tabla5[[#This Row], [Costo unitario]],0)</f>
        <v/>
      </c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>
        <f>TEXT(Tabla5[[#This Row], [Fecha]],"MMMM") &amp; TEXT(Tabla5[[#This Row], [Fecha]],"yy")</f>
        <v/>
      </c>
      <c r="I10" s="16" t="n">
        <v>1</v>
      </c>
      <c r="J10" s="28" t="n"/>
      <c r="K10" s="28" t="n"/>
      <c r="L10" s="28" t="n"/>
      <c r="M10" s="28" t="n"/>
      <c r="N10" s="16" t="n"/>
      <c r="O10" s="16">
        <f>IF(Tabla5[[#This Row], [¿perdida anormal?]]=1,SUMIF(Tabla5[[#This Row], [cantidad]],"&gt;0"),0)</f>
        <v/>
      </c>
      <c r="P10" s="16">
        <f>IF(Tabla5[[#This Row], [¿perdida anormal?]]=1,SUMIF(Tabla5[[#This Row], [cantidad]],"&lt;0")*-1,0)</f>
        <v/>
      </c>
      <c r="Q10" s="16">
        <f>IF(Tabla5[[#This Row], [¿devolución?]]=1,SUMIF(Tabla5[[#This Row], [cantidad]],"&lt;0")*-1,0)</f>
        <v/>
      </c>
      <c r="R10" s="16">
        <f>IF(Tabla5[[#This Row], [¿devolución?]]=1,SUMIF(Tabla5[[#This Row], [cantidad]],"&gt;0"),0)</f>
        <v/>
      </c>
      <c r="S10" s="16">
        <f>SUMIFS(Tabla5[[#This Row], [cantidad]],Tabla5[[#This Row], [cantidad]],"&lt;0",Tabla5[[#This Row], [¿devolución?]],"",Tabla5[[#This Row], [¿perdida anormal?]],"")</f>
        <v/>
      </c>
      <c r="T10" s="16">
        <f>SUMIFS(Tabla5[[#This Row], [cantidad]],Tabla5[[#This Row], [cantidad]],"&gt;0",Tabla5[[#This Row], [¿devolución?]],"",Tabla5[[#This Row], [¿perdida anormal?]],"")</f>
        <v/>
      </c>
      <c r="U10" s="16">
        <f>IFERROR(Tabla5[[#This Row], [CANT VENDIDA]]*Tabla5[[#This Row], [Costo unitario]],0)</f>
        <v/>
      </c>
      <c r="V10" s="13">
        <f>IFERROR(Tabla5[[#This Row], [CANT ADQUIRIDA]]*Tabla5[[#This Row], [Costo unitario]],0)</f>
        <v/>
      </c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>
        <f>TEXT(Tabla5[[#This Row], [Fecha]],"MMMM") &amp; TEXT(Tabla5[[#This Row], [Fecha]],"yy")</f>
        <v/>
      </c>
      <c r="I11" s="16" t="n">
        <v>4</v>
      </c>
      <c r="J11" s="28" t="n"/>
      <c r="K11" s="28" t="n"/>
      <c r="L11" s="28" t="n"/>
      <c r="M11" s="28" t="n"/>
      <c r="N11" s="16" t="n"/>
      <c r="O11" s="16">
        <f>IF(Tabla5[[#This Row], [¿perdida anormal?]]=1,SUMIF(Tabla5[[#This Row], [cantidad]],"&gt;0"),0)</f>
        <v/>
      </c>
      <c r="P11" s="16">
        <f>IF(Tabla5[[#This Row], [¿perdida anormal?]]=1,SUMIF(Tabla5[[#This Row], [cantidad]],"&lt;0")*-1,0)</f>
        <v/>
      </c>
      <c r="Q11" s="16">
        <f>IF(Tabla5[[#This Row], [¿devolución?]]=1,SUMIF(Tabla5[[#This Row], [cantidad]],"&lt;0")*-1,0)</f>
        <v/>
      </c>
      <c r="R11" s="16">
        <f>IF(Tabla5[[#This Row], [¿devolución?]]=1,SUMIF(Tabla5[[#This Row], [cantidad]],"&gt;0"),0)</f>
        <v/>
      </c>
      <c r="S11" s="16">
        <f>SUMIFS(Tabla5[[#This Row], [cantidad]],Tabla5[[#This Row], [cantidad]],"&lt;0",Tabla5[[#This Row], [¿devolución?]],"",Tabla5[[#This Row], [¿perdida anormal?]],"")</f>
        <v/>
      </c>
      <c r="T11" s="16">
        <f>SUMIFS(Tabla5[[#This Row], [cantidad]],Tabla5[[#This Row], [cantidad]],"&gt;0",Tabla5[[#This Row], [¿devolución?]],"",Tabla5[[#This Row], [¿perdida anormal?]],"")</f>
        <v/>
      </c>
      <c r="U11" s="16">
        <f>IFERROR(Tabla5[[#This Row], [CANT VENDIDA]]*Tabla5[[#This Row], [Costo unitario]],0)</f>
        <v/>
      </c>
      <c r="V11" s="13">
        <f>IFERROR(Tabla5[[#This Row], [CANT ADQUIRIDA]]*Tabla5[[#This Row], [Costo unitario]],0)</f>
        <v/>
      </c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>
        <f>TEXT(Tabla5[[#This Row], [Fecha]],"MMMM") &amp; TEXT(Tabla5[[#This Row], [Fecha]],"yy")</f>
        <v/>
      </c>
      <c r="I12" s="16" t="n">
        <v>1</v>
      </c>
      <c r="J12" s="28" t="n"/>
      <c r="K12" s="28" t="n"/>
      <c r="L12" s="28" t="n"/>
      <c r="M12" s="28" t="n"/>
      <c r="N12" s="16" t="n"/>
      <c r="O12" s="16">
        <f>IF(Tabla5[[#This Row], [¿perdida anormal?]]=1,SUMIF(Tabla5[[#This Row], [cantidad]],"&gt;0"),0)</f>
        <v/>
      </c>
      <c r="P12" s="16">
        <f>IF(Tabla5[[#This Row], [¿perdida anormal?]]=1,SUMIF(Tabla5[[#This Row], [cantidad]],"&lt;0")*-1,0)</f>
        <v/>
      </c>
      <c r="Q12" s="16">
        <f>IF(Tabla5[[#This Row], [¿devolución?]]=1,SUMIF(Tabla5[[#This Row], [cantidad]],"&lt;0")*-1,0)</f>
        <v/>
      </c>
      <c r="R12" s="16">
        <f>IF(Tabla5[[#This Row], [¿devolución?]]=1,SUMIF(Tabla5[[#This Row], [cantidad]],"&gt;0"),0)</f>
        <v/>
      </c>
      <c r="S12" s="16">
        <f>SUMIFS(Tabla5[[#This Row], [cantidad]],Tabla5[[#This Row], [cantidad]],"&lt;0",Tabla5[[#This Row], [¿devolución?]],"",Tabla5[[#This Row], [¿perdida anormal?]],"")</f>
        <v/>
      </c>
      <c r="T12" s="16">
        <f>SUMIFS(Tabla5[[#This Row], [cantidad]],Tabla5[[#This Row], [cantidad]],"&gt;0",Tabla5[[#This Row], [¿devolución?]],"",Tabla5[[#This Row], [¿perdida anormal?]],"")</f>
        <v/>
      </c>
      <c r="U12" s="16">
        <f>IFERROR(Tabla5[[#This Row], [CANT VENDIDA]]*Tabla5[[#This Row], [Costo unitario]],0)</f>
        <v/>
      </c>
      <c r="V12" s="13">
        <f>IFERROR(Tabla5[[#This Row], [CANT ADQUIRIDA]]*Tabla5[[#This Row], [Costo unitario]],0)</f>
        <v/>
      </c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>
        <f>TEXT(Tabla5[[#This Row], [Fecha]],"MMMM") &amp; TEXT(Tabla5[[#This Row], [Fecha]],"yy")</f>
        <v/>
      </c>
      <c r="I13" s="16" t="n">
        <v>4</v>
      </c>
      <c r="J13" s="28" t="n"/>
      <c r="K13" s="28" t="n"/>
      <c r="L13" s="28" t="n"/>
      <c r="M13" s="28" t="n"/>
      <c r="N13" s="16" t="n"/>
      <c r="O13" s="16">
        <f>IF(Tabla5[[#This Row], [¿perdida anormal?]]=1,SUMIF(Tabla5[[#This Row], [cantidad]],"&gt;0"),0)</f>
        <v/>
      </c>
      <c r="P13" s="16">
        <f>IF(Tabla5[[#This Row], [¿perdida anormal?]]=1,SUMIF(Tabla5[[#This Row], [cantidad]],"&lt;0")*-1,0)</f>
        <v/>
      </c>
      <c r="Q13" s="16">
        <f>IF(Tabla5[[#This Row], [¿devolución?]]=1,SUMIF(Tabla5[[#This Row], [cantidad]],"&lt;0")*-1,0)</f>
        <v/>
      </c>
      <c r="R13" s="16">
        <f>IF(Tabla5[[#This Row], [¿devolución?]]=1,SUMIF(Tabla5[[#This Row], [cantidad]],"&gt;0"),0)</f>
        <v/>
      </c>
      <c r="S13" s="16">
        <f>SUMIFS(Tabla5[[#This Row], [cantidad]],Tabla5[[#This Row], [cantidad]],"&lt;0",Tabla5[[#This Row], [¿devolución?]],"",Tabla5[[#This Row], [¿perdida anormal?]],"")</f>
        <v/>
      </c>
      <c r="T13" s="16">
        <f>SUMIFS(Tabla5[[#This Row], [cantidad]],Tabla5[[#This Row], [cantidad]],"&gt;0",Tabla5[[#This Row], [¿devolución?]],"",Tabla5[[#This Row], [¿perdida anormal?]],"")</f>
        <v/>
      </c>
      <c r="U13" s="16">
        <f>IFERROR(Tabla5[[#This Row], [CANT VENDIDA]]*Tabla5[[#This Row], [Costo unitario]],0)</f>
        <v/>
      </c>
      <c r="V13" s="13">
        <f>IFERROR(Tabla5[[#This Row], [CANT ADQUIRIDA]]*Tabla5[[#This Row], [Costo unitario]],0)</f>
        <v/>
      </c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>
        <f>TEXT(Tabla5[[#This Row], [Fecha]],"MMMM") &amp; TEXT(Tabla5[[#This Row], [Fecha]],"yy")</f>
        <v/>
      </c>
      <c r="I14" s="16" t="n">
        <v>3</v>
      </c>
      <c r="J14" s="28" t="n"/>
      <c r="K14" s="28" t="n"/>
      <c r="L14" s="28" t="n"/>
      <c r="M14" s="28" t="n"/>
      <c r="N14" s="16" t="n"/>
      <c r="O14" s="16">
        <f>IF(Tabla5[[#This Row], [¿perdida anormal?]]=1,SUMIF(Tabla5[[#This Row], [cantidad]],"&gt;0"),0)</f>
        <v/>
      </c>
      <c r="P14" s="16">
        <f>IF(Tabla5[[#This Row], [¿perdida anormal?]]=1,SUMIF(Tabla5[[#This Row], [cantidad]],"&lt;0")*-1,0)</f>
        <v/>
      </c>
      <c r="Q14" s="16">
        <f>IF(Tabla5[[#This Row], [¿devolución?]]=1,SUMIF(Tabla5[[#This Row], [cantidad]],"&lt;0")*-1,0)</f>
        <v/>
      </c>
      <c r="R14" s="16">
        <f>IF(Tabla5[[#This Row], [¿devolución?]]=1,SUMIF(Tabla5[[#This Row], [cantidad]],"&gt;0"),0)</f>
        <v/>
      </c>
      <c r="S14" s="16">
        <f>SUMIFS(Tabla5[[#This Row], [cantidad]],Tabla5[[#This Row], [cantidad]],"&lt;0",Tabla5[[#This Row], [¿devolución?]],"",Tabla5[[#This Row], [¿perdida anormal?]],"")</f>
        <v/>
      </c>
      <c r="T14" s="16">
        <f>SUMIFS(Tabla5[[#This Row], [cantidad]],Tabla5[[#This Row], [cantidad]],"&gt;0",Tabla5[[#This Row], [¿devolución?]],"",Tabla5[[#This Row], [¿perdida anormal?]],"")</f>
        <v/>
      </c>
      <c r="U14" s="16">
        <f>IFERROR(Tabla5[[#This Row], [CANT VENDIDA]]*Tabla5[[#This Row], [Costo unitario]],0)</f>
        <v/>
      </c>
      <c r="V14" s="13">
        <f>IFERROR(Tabla5[[#This Row], [CANT ADQUIRIDA]]*Tabla5[[#This Row], [Costo unitario]],0)</f>
        <v/>
      </c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>
        <f>TEXT(Tabla5[[#This Row], [Fecha]],"MMMM") &amp; TEXT(Tabla5[[#This Row], [Fecha]],"yy")</f>
        <v/>
      </c>
      <c r="I15" s="16" t="n">
        <v>3</v>
      </c>
      <c r="J15" s="28" t="n"/>
      <c r="K15" s="28" t="n"/>
      <c r="L15" s="28" t="n"/>
      <c r="M15" s="28" t="n"/>
      <c r="N15" s="16" t="n"/>
      <c r="O15" s="16">
        <f>IF(Tabla5[[#This Row], [¿perdida anormal?]]=1,SUMIF(Tabla5[[#This Row], [cantidad]],"&gt;0"),0)</f>
        <v/>
      </c>
      <c r="P15" s="16">
        <f>IF(Tabla5[[#This Row], [¿perdida anormal?]]=1,SUMIF(Tabla5[[#This Row], [cantidad]],"&lt;0")*-1,0)</f>
        <v/>
      </c>
      <c r="Q15" s="16">
        <f>IF(Tabla5[[#This Row], [¿devolución?]]=1,SUMIF(Tabla5[[#This Row], [cantidad]],"&lt;0")*-1,0)</f>
        <v/>
      </c>
      <c r="R15" s="16">
        <f>IF(Tabla5[[#This Row], [¿devolución?]]=1,SUMIF(Tabla5[[#This Row], [cantidad]],"&gt;0"),0)</f>
        <v/>
      </c>
      <c r="S15" s="16">
        <f>SUMIFS(Tabla5[[#This Row], [cantidad]],Tabla5[[#This Row], [cantidad]],"&lt;0",Tabla5[[#This Row], [¿devolución?]],"",Tabla5[[#This Row], [¿perdida anormal?]],"")</f>
        <v/>
      </c>
      <c r="T15" s="16">
        <f>SUMIFS(Tabla5[[#This Row], [cantidad]],Tabla5[[#This Row], [cantidad]],"&gt;0",Tabla5[[#This Row], [¿devolución?]],"",Tabla5[[#This Row], [¿perdida anormal?]],"")</f>
        <v/>
      </c>
      <c r="U15" s="16">
        <f>IFERROR(Tabla5[[#This Row], [CANT VENDIDA]]*Tabla5[[#This Row], [Costo unitario]],0)</f>
        <v/>
      </c>
      <c r="V15" s="13">
        <f>IFERROR(Tabla5[[#This Row], [CANT ADQUIRIDA]]*Tabla5[[#This Row], [Costo unitario]],0)</f>
        <v/>
      </c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>
        <f>TEXT(Tabla5[[#This Row], [Fecha]],"MMMM") &amp; TEXT(Tabla5[[#This Row], [Fecha]],"yy")</f>
        <v/>
      </c>
      <c r="I16" s="16" t="n">
        <v>2</v>
      </c>
      <c r="J16" s="28" t="n"/>
      <c r="K16" s="28" t="n"/>
      <c r="L16" s="28" t="n"/>
      <c r="M16" s="28" t="n"/>
      <c r="N16" s="16" t="n"/>
      <c r="O16" s="16">
        <f>IF(Tabla5[[#This Row], [¿perdida anormal?]]=1,SUMIF(Tabla5[[#This Row], [cantidad]],"&gt;0"),0)</f>
        <v/>
      </c>
      <c r="P16" s="16">
        <f>IF(Tabla5[[#This Row], [¿perdida anormal?]]=1,SUMIF(Tabla5[[#This Row], [cantidad]],"&lt;0")*-1,0)</f>
        <v/>
      </c>
      <c r="Q16" s="16">
        <f>IF(Tabla5[[#This Row], [¿devolución?]]=1,SUMIF(Tabla5[[#This Row], [cantidad]],"&lt;0")*-1,0)</f>
        <v/>
      </c>
      <c r="R16" s="16">
        <f>IF(Tabla5[[#This Row], [¿devolución?]]=1,SUMIF(Tabla5[[#This Row], [cantidad]],"&gt;0"),0)</f>
        <v/>
      </c>
      <c r="S16" s="16">
        <f>SUMIFS(Tabla5[[#This Row], [cantidad]],Tabla5[[#This Row], [cantidad]],"&lt;0",Tabla5[[#This Row], [¿devolución?]],"",Tabla5[[#This Row], [¿perdida anormal?]],"")</f>
        <v/>
      </c>
      <c r="T16" s="16">
        <f>SUMIFS(Tabla5[[#This Row], [cantidad]],Tabla5[[#This Row], [cantidad]],"&gt;0",Tabla5[[#This Row], [¿devolución?]],"",Tabla5[[#This Row], [¿perdida anormal?]],"")</f>
        <v/>
      </c>
      <c r="U16" s="16">
        <f>IFERROR(Tabla5[[#This Row], [CANT VENDIDA]]*Tabla5[[#This Row], [Costo unitario]],0)</f>
        <v/>
      </c>
      <c r="V16" s="13">
        <f>IFERROR(Tabla5[[#This Row], [CANT ADQUIRIDA]]*Tabla5[[#This Row], [Costo unitario]],0)</f>
        <v/>
      </c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>
        <f>TEXT(Tabla5[[#This Row], [Fecha]],"MMMM") &amp; TEXT(Tabla5[[#This Row], [Fecha]],"yy")</f>
        <v/>
      </c>
      <c r="I17" s="16" t="n">
        <v>1</v>
      </c>
      <c r="J17" s="28" t="n"/>
      <c r="K17" s="28" t="n"/>
      <c r="L17" s="28" t="n"/>
      <c r="M17" s="28" t="n"/>
      <c r="N17" s="16" t="n"/>
      <c r="O17" s="16">
        <f>IF(Tabla5[[#This Row], [¿perdida anormal?]]=1,SUMIF(Tabla5[[#This Row], [cantidad]],"&gt;0"),0)</f>
        <v/>
      </c>
      <c r="P17" s="16">
        <f>IF(Tabla5[[#This Row], [¿perdida anormal?]]=1,SUMIF(Tabla5[[#This Row], [cantidad]],"&lt;0")*-1,0)</f>
        <v/>
      </c>
      <c r="Q17" s="16">
        <f>IF(Tabla5[[#This Row], [¿devolución?]]=1,SUMIF(Tabla5[[#This Row], [cantidad]],"&lt;0")*-1,0)</f>
        <v/>
      </c>
      <c r="R17" s="16">
        <f>IF(Tabla5[[#This Row], [¿devolución?]]=1,SUMIF(Tabla5[[#This Row], [cantidad]],"&gt;0"),0)</f>
        <v/>
      </c>
      <c r="S17" s="16">
        <f>SUMIFS(Tabla5[[#This Row], [cantidad]],Tabla5[[#This Row], [cantidad]],"&lt;0",Tabla5[[#This Row], [¿devolución?]],"",Tabla5[[#This Row], [¿perdida anormal?]],"")</f>
        <v/>
      </c>
      <c r="T17" s="16">
        <f>SUMIFS(Tabla5[[#This Row], [cantidad]],Tabla5[[#This Row], [cantidad]],"&gt;0",Tabla5[[#This Row], [¿devolución?]],"",Tabla5[[#This Row], [¿perdida anormal?]],"")</f>
        <v/>
      </c>
      <c r="U17" s="16">
        <f>IFERROR(Tabla5[[#This Row], [CANT VENDIDA]]*Tabla5[[#This Row], [Costo unitario]],0)</f>
        <v/>
      </c>
      <c r="V17" s="13">
        <f>IFERROR(Tabla5[[#This Row], [CANT ADQUIRIDA]]*Tabla5[[#This Row], [Costo unitario]],0)</f>
        <v/>
      </c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>
        <f>TEXT(Tabla5[[#This Row], [Fecha]],"MMMM") &amp; TEXT(Tabla5[[#This Row], [Fecha]],"yy")</f>
        <v/>
      </c>
      <c r="I18" s="16" t="n">
        <v>1</v>
      </c>
      <c r="J18" s="28" t="n"/>
      <c r="K18" s="28" t="n"/>
      <c r="L18" s="28" t="n"/>
      <c r="M18" s="28" t="n"/>
      <c r="N18" s="16" t="n"/>
      <c r="O18" s="16">
        <f>IF(Tabla5[[#This Row], [¿perdida anormal?]]=1,SUMIF(Tabla5[[#This Row], [cantidad]],"&gt;0"),0)</f>
        <v/>
      </c>
      <c r="P18" s="16">
        <f>IF(Tabla5[[#This Row], [¿perdida anormal?]]=1,SUMIF(Tabla5[[#This Row], [cantidad]],"&lt;0")*-1,0)</f>
        <v/>
      </c>
      <c r="Q18" s="16">
        <f>IF(Tabla5[[#This Row], [¿devolución?]]=1,SUMIF(Tabla5[[#This Row], [cantidad]],"&lt;0")*-1,0)</f>
        <v/>
      </c>
      <c r="R18" s="16">
        <f>IF(Tabla5[[#This Row], [¿devolución?]]=1,SUMIF(Tabla5[[#This Row], [cantidad]],"&gt;0"),0)</f>
        <v/>
      </c>
      <c r="S18" s="16">
        <f>SUMIFS(Tabla5[[#This Row], [cantidad]],Tabla5[[#This Row], [cantidad]],"&lt;0",Tabla5[[#This Row], [¿devolución?]],"",Tabla5[[#This Row], [¿perdida anormal?]],"")</f>
        <v/>
      </c>
      <c r="T18" s="16">
        <f>SUMIFS(Tabla5[[#This Row], [cantidad]],Tabla5[[#This Row], [cantidad]],"&gt;0",Tabla5[[#This Row], [¿devolución?]],"",Tabla5[[#This Row], [¿perdida anormal?]],"")</f>
        <v/>
      </c>
      <c r="U18" s="16">
        <f>IFERROR(Tabla5[[#This Row], [CANT VENDIDA]]*Tabla5[[#This Row], [Costo unitario]],0)</f>
        <v/>
      </c>
      <c r="V18" s="13">
        <f>IFERROR(Tabla5[[#This Row], [CANT ADQUIRIDA]]*Tabla5[[#This Row], [Costo unitario]],0)</f>
        <v/>
      </c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>
        <f>TEXT(Tabla5[[#This Row], [Fecha]],"MMMM") &amp; TEXT(Tabla5[[#This Row], [Fecha]],"yy")</f>
        <v/>
      </c>
      <c r="I19" s="16" t="n">
        <v>1</v>
      </c>
      <c r="J19" s="28" t="n"/>
      <c r="K19" s="28" t="n"/>
      <c r="L19" s="28" t="n"/>
      <c r="M19" s="28" t="n"/>
      <c r="N19" s="16" t="n"/>
      <c r="O19" s="16">
        <f>IF(Tabla5[[#This Row], [¿perdida anormal?]]=1,SUMIF(Tabla5[[#This Row], [cantidad]],"&gt;0"),0)</f>
        <v/>
      </c>
      <c r="P19" s="16">
        <f>IF(Tabla5[[#This Row], [¿perdida anormal?]]=1,SUMIF(Tabla5[[#This Row], [cantidad]],"&lt;0")*-1,0)</f>
        <v/>
      </c>
      <c r="Q19" s="16">
        <f>IF(Tabla5[[#This Row], [¿devolución?]]=1,SUMIF(Tabla5[[#This Row], [cantidad]],"&lt;0")*-1,0)</f>
        <v/>
      </c>
      <c r="R19" s="16">
        <f>IF(Tabla5[[#This Row], [¿devolución?]]=1,SUMIF(Tabla5[[#This Row], [cantidad]],"&gt;0"),0)</f>
        <v/>
      </c>
      <c r="S19" s="16">
        <f>SUMIFS(Tabla5[[#This Row], [cantidad]],Tabla5[[#This Row], [cantidad]],"&lt;0",Tabla5[[#This Row], [¿devolución?]],"",Tabla5[[#This Row], [¿perdida anormal?]],"")</f>
        <v/>
      </c>
      <c r="T19" s="16">
        <f>SUMIFS(Tabla5[[#This Row], [cantidad]],Tabla5[[#This Row], [cantidad]],"&gt;0",Tabla5[[#This Row], [¿devolución?]],"",Tabla5[[#This Row], [¿perdida anormal?]],"")</f>
        <v/>
      </c>
      <c r="U19" s="16">
        <f>IFERROR(Tabla5[[#This Row], [CANT VENDIDA]]*Tabla5[[#This Row], [Costo unitario]],0)</f>
        <v/>
      </c>
      <c r="V19" s="13">
        <f>IFERROR(Tabla5[[#This Row], [CANT ADQUIRIDA]]*Tabla5[[#This Row], [Costo unitario]],0)</f>
        <v/>
      </c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>
        <f>TEXT(Tabla5[[#This Row], [Fecha]],"MMMM") &amp; TEXT(Tabla5[[#This Row], [Fecha]],"yy")</f>
        <v/>
      </c>
      <c r="I20" s="16" t="n">
        <v>2</v>
      </c>
      <c r="J20" s="28" t="n"/>
      <c r="K20" s="28" t="n"/>
      <c r="L20" s="28" t="n"/>
      <c r="M20" s="28" t="n"/>
      <c r="N20" s="16" t="n"/>
      <c r="O20" s="16">
        <f>IF(Tabla5[[#This Row], [¿perdida anormal?]]=1,SUMIF(Tabla5[[#This Row], [cantidad]],"&gt;0"),0)</f>
        <v/>
      </c>
      <c r="P20" s="16">
        <f>IF(Tabla5[[#This Row], [¿perdida anormal?]]=1,SUMIF(Tabla5[[#This Row], [cantidad]],"&lt;0")*-1,0)</f>
        <v/>
      </c>
      <c r="Q20" s="16">
        <f>IF(Tabla5[[#This Row], [¿devolución?]]=1,SUMIF(Tabla5[[#This Row], [cantidad]],"&lt;0")*-1,0)</f>
        <v/>
      </c>
      <c r="R20" s="16">
        <f>IF(Tabla5[[#This Row], [¿devolución?]]=1,SUMIF(Tabla5[[#This Row], [cantidad]],"&gt;0"),0)</f>
        <v/>
      </c>
      <c r="S20" s="16">
        <f>SUMIFS(Tabla5[[#This Row], [cantidad]],Tabla5[[#This Row], [cantidad]],"&lt;0",Tabla5[[#This Row], [¿devolución?]],"",Tabla5[[#This Row], [¿perdida anormal?]],"")</f>
        <v/>
      </c>
      <c r="T20" s="16">
        <f>SUMIFS(Tabla5[[#This Row], [cantidad]],Tabla5[[#This Row], [cantidad]],"&gt;0",Tabla5[[#This Row], [¿devolución?]],"",Tabla5[[#This Row], [¿perdida anormal?]],"")</f>
        <v/>
      </c>
      <c r="U20" s="16">
        <f>IFERROR(Tabla5[[#This Row], [CANT VENDIDA]]*Tabla5[[#This Row], [Costo unitario]],0)</f>
        <v/>
      </c>
      <c r="V20" s="13">
        <f>IFERROR(Tabla5[[#This Row], [CANT ADQUIRIDA]]*Tabla5[[#This Row], [Costo unitario]],0)</f>
        <v/>
      </c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inlineStr">
        <is>
          <t>#N/A</t>
        </is>
      </c>
      <c r="D21" s="14" t="inlineStr">
        <is>
          <t>#N/A</t>
        </is>
      </c>
      <c r="E21" s="15" t="inlineStr">
        <is>
          <t>#N/A</t>
        </is>
      </c>
      <c r="F21" s="14" t="inlineStr">
        <is>
          <t>#N/A</t>
        </is>
      </c>
      <c r="G21" s="14" t="inlineStr">
        <is>
          <t>#N/A</t>
        </is>
      </c>
      <c r="H21" s="15">
        <f>TEXT(Tabla5[[#This Row], [Fecha]],"MMMM") &amp; TEXT(Tabla5[[#This Row], [Fecha]],"yy")</f>
        <v/>
      </c>
      <c r="I21" s="16" t="n">
        <v>1</v>
      </c>
      <c r="J21" s="28" t="n"/>
      <c r="K21" s="28" t="n"/>
      <c r="L21" s="28" t="n"/>
      <c r="M21" s="28" t="n"/>
      <c r="N21" s="16" t="n"/>
      <c r="O21" s="16">
        <f>IF(Tabla5[[#This Row], [¿perdida anormal?]]=1,SUMIF(Tabla5[[#This Row], [cantidad]],"&gt;0"),0)</f>
        <v/>
      </c>
      <c r="P21" s="16">
        <f>IF(Tabla5[[#This Row], [¿perdida anormal?]]=1,SUMIF(Tabla5[[#This Row], [cantidad]],"&lt;0")*-1,0)</f>
        <v/>
      </c>
      <c r="Q21" s="16">
        <f>IF(Tabla5[[#This Row], [¿devolución?]]=1,SUMIF(Tabla5[[#This Row], [cantidad]],"&lt;0")*-1,0)</f>
        <v/>
      </c>
      <c r="R21" s="16">
        <f>IF(Tabla5[[#This Row], [¿devolución?]]=1,SUMIF(Tabla5[[#This Row], [cantidad]],"&gt;0"),0)</f>
        <v/>
      </c>
      <c r="S21" s="16">
        <f>SUMIFS(Tabla5[[#This Row], [cantidad]],Tabla5[[#This Row], [cantidad]],"&lt;0",Tabla5[[#This Row], [¿devolución?]],"",Tabla5[[#This Row], [¿perdida anormal?]],"")</f>
        <v/>
      </c>
      <c r="T21" s="16">
        <f>SUMIFS(Tabla5[[#This Row], [cantidad]],Tabla5[[#This Row], [cantidad]],"&gt;0",Tabla5[[#This Row], [¿devolución?]],"",Tabla5[[#This Row], [¿perdida anormal?]],"")</f>
        <v/>
      </c>
      <c r="U21" s="16">
        <f>IFERROR(Tabla5[[#This Row], [CANT VENDIDA]]*Tabla5[[#This Row], [Costo unitario]],0)</f>
        <v/>
      </c>
      <c r="V21" s="13">
        <f>IFERROR(Tabla5[[#This Row], [CANT ADQUIRIDA]]*Tabla5[[#This Row], [Costo unitario]],0)</f>
        <v/>
      </c>
      <c r="W21" s="14" t="inlineStr">
        <is>
          <t>#N/A</t>
        </is>
      </c>
      <c r="X21" s="14" t="inlineStr">
        <is>
          <t>#N/A</t>
        </is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>
        <f>TEXT(Tabla5[[#This Row], [Fecha]],"MMMM") &amp; TEXT(Tabla5[[#This Row], [Fecha]],"yy")</f>
        <v/>
      </c>
      <c r="I22" s="16" t="n">
        <v>2</v>
      </c>
      <c r="J22" s="28" t="n"/>
      <c r="K22" s="28" t="n"/>
      <c r="L22" s="28" t="n"/>
      <c r="M22" s="28" t="n"/>
      <c r="N22" s="16" t="n"/>
      <c r="O22" s="16">
        <f>IF(Tabla5[[#This Row], [¿perdida anormal?]]=1,SUMIF(Tabla5[[#This Row], [cantidad]],"&gt;0"),0)</f>
        <v/>
      </c>
      <c r="P22" s="16">
        <f>IF(Tabla5[[#This Row], [¿perdida anormal?]]=1,SUMIF(Tabla5[[#This Row], [cantidad]],"&lt;0")*-1,0)</f>
        <v/>
      </c>
      <c r="Q22" s="16">
        <f>IF(Tabla5[[#This Row], [¿devolución?]]=1,SUMIF(Tabla5[[#This Row], [cantidad]],"&lt;0")*-1,0)</f>
        <v/>
      </c>
      <c r="R22" s="16">
        <f>IF(Tabla5[[#This Row], [¿devolución?]]=1,SUMIF(Tabla5[[#This Row], [cantidad]],"&gt;0"),0)</f>
        <v/>
      </c>
      <c r="S22" s="16">
        <f>SUMIFS(Tabla5[[#This Row], [cantidad]],Tabla5[[#This Row], [cantidad]],"&lt;0",Tabla5[[#This Row], [¿devolución?]],"",Tabla5[[#This Row], [¿perdida anormal?]],"")</f>
        <v/>
      </c>
      <c r="T22" s="16">
        <f>SUMIFS(Tabla5[[#This Row], [cantidad]],Tabla5[[#This Row], [cantidad]],"&gt;0",Tabla5[[#This Row], [¿devolución?]],"",Tabla5[[#This Row], [¿perdida anormal?]],"")</f>
        <v/>
      </c>
      <c r="U22" s="16">
        <f>IFERROR(Tabla5[[#This Row], [CANT VENDIDA]]*Tabla5[[#This Row], [Costo unitario]],0)</f>
        <v/>
      </c>
      <c r="V22" s="13">
        <f>IFERROR(Tabla5[[#This Row], [CANT ADQUIRIDA]]*Tabla5[[#This Row], [Costo unitario]],0)</f>
        <v/>
      </c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>
        <f>TEXT(Tabla5[[#This Row], [Fecha]],"MMMM") &amp; TEXT(Tabla5[[#This Row], [Fecha]],"yy")</f>
        <v/>
      </c>
      <c r="I23" s="16" t="n">
        <v>1</v>
      </c>
      <c r="J23" s="28" t="n"/>
      <c r="K23" s="28" t="n"/>
      <c r="L23" s="28" t="n"/>
      <c r="M23" s="28" t="n"/>
      <c r="N23" s="16" t="n"/>
      <c r="O23" s="16">
        <f>IF(Tabla5[[#This Row], [¿perdida anormal?]]=1,SUMIF(Tabla5[[#This Row], [cantidad]],"&gt;0"),0)</f>
        <v/>
      </c>
      <c r="P23" s="16">
        <f>IF(Tabla5[[#This Row], [¿perdida anormal?]]=1,SUMIF(Tabla5[[#This Row], [cantidad]],"&lt;0")*-1,0)</f>
        <v/>
      </c>
      <c r="Q23" s="16">
        <f>IF(Tabla5[[#This Row], [¿devolución?]]=1,SUMIF(Tabla5[[#This Row], [cantidad]],"&lt;0")*-1,0)</f>
        <v/>
      </c>
      <c r="R23" s="16">
        <f>IF(Tabla5[[#This Row], [¿devolución?]]=1,SUMIF(Tabla5[[#This Row], [cantidad]],"&gt;0"),0)</f>
        <v/>
      </c>
      <c r="S23" s="16">
        <f>SUMIFS(Tabla5[[#This Row], [cantidad]],Tabla5[[#This Row], [cantidad]],"&lt;0",Tabla5[[#This Row], [¿devolución?]],"",Tabla5[[#This Row], [¿perdida anormal?]],"")</f>
        <v/>
      </c>
      <c r="T23" s="16">
        <f>SUMIFS(Tabla5[[#This Row], [cantidad]],Tabla5[[#This Row], [cantidad]],"&gt;0",Tabla5[[#This Row], [¿devolución?]],"",Tabla5[[#This Row], [¿perdida anormal?]],"")</f>
        <v/>
      </c>
      <c r="U23" s="16">
        <f>IFERROR(Tabla5[[#This Row], [CANT VENDIDA]]*Tabla5[[#This Row], [Costo unitario]],0)</f>
        <v/>
      </c>
      <c r="V23" s="13">
        <f>IFERROR(Tabla5[[#This Row], [CANT ADQUIRIDA]]*Tabla5[[#This Row], [Costo unitario]],0)</f>
        <v/>
      </c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>
        <f>TEXT(Tabla5[[#This Row], [Fecha]],"MMMM") &amp; TEXT(Tabla5[[#This Row], [Fecha]],"yy")</f>
        <v/>
      </c>
      <c r="I24" s="16" t="n">
        <v>1</v>
      </c>
      <c r="J24" s="28" t="n"/>
      <c r="K24" s="28" t="n"/>
      <c r="L24" s="28" t="n"/>
      <c r="M24" s="28" t="n"/>
      <c r="N24" s="16" t="n"/>
      <c r="O24" s="16">
        <f>IF(Tabla5[[#This Row], [¿perdida anormal?]]=1,SUMIF(Tabla5[[#This Row], [cantidad]],"&gt;0"),0)</f>
        <v/>
      </c>
      <c r="P24" s="16">
        <f>IF(Tabla5[[#This Row], [¿perdida anormal?]]=1,SUMIF(Tabla5[[#This Row], [cantidad]],"&lt;0")*-1,0)</f>
        <v/>
      </c>
      <c r="Q24" s="16">
        <f>IF(Tabla5[[#This Row], [¿devolución?]]=1,SUMIF(Tabla5[[#This Row], [cantidad]],"&lt;0")*-1,0)</f>
        <v/>
      </c>
      <c r="R24" s="16">
        <f>IF(Tabla5[[#This Row], [¿devolución?]]=1,SUMIF(Tabla5[[#This Row], [cantidad]],"&gt;0"),0)</f>
        <v/>
      </c>
      <c r="S24" s="16">
        <f>SUMIFS(Tabla5[[#This Row], [cantidad]],Tabla5[[#This Row], [cantidad]],"&lt;0",Tabla5[[#This Row], [¿devolución?]],"",Tabla5[[#This Row], [¿perdida anormal?]],"")</f>
        <v/>
      </c>
      <c r="T24" s="16">
        <f>SUMIFS(Tabla5[[#This Row], [cantidad]],Tabla5[[#This Row], [cantidad]],"&gt;0",Tabla5[[#This Row], [¿devolución?]],"",Tabla5[[#This Row], [¿perdida anormal?]],"")</f>
        <v/>
      </c>
      <c r="U24" s="16">
        <f>IFERROR(Tabla5[[#This Row], [CANT VENDIDA]]*Tabla5[[#This Row], [Costo unitario]],0)</f>
        <v/>
      </c>
      <c r="V24" s="13">
        <f>IFERROR(Tabla5[[#This Row], [CANT ADQUIRIDA]]*Tabla5[[#This Row], [Costo unitario]],0)</f>
        <v/>
      </c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>
        <f>TEXT(Tabla5[[#This Row], [Fecha]],"MMMM") &amp; TEXT(Tabla5[[#This Row], [Fecha]],"yy")</f>
        <v/>
      </c>
      <c r="I25" s="16" t="n">
        <v>3</v>
      </c>
      <c r="J25" s="28" t="n"/>
      <c r="K25" s="28" t="n"/>
      <c r="L25" s="28" t="n"/>
      <c r="M25" s="28" t="n"/>
      <c r="N25" s="16" t="n"/>
      <c r="O25" s="16">
        <f>IF(Tabla5[[#This Row], [¿perdida anormal?]]=1,SUMIF(Tabla5[[#This Row], [cantidad]],"&gt;0"),0)</f>
        <v/>
      </c>
      <c r="P25" s="16">
        <f>IF(Tabla5[[#This Row], [¿perdida anormal?]]=1,SUMIF(Tabla5[[#This Row], [cantidad]],"&lt;0")*-1,0)</f>
        <v/>
      </c>
      <c r="Q25" s="16">
        <f>IF(Tabla5[[#This Row], [¿devolución?]]=1,SUMIF(Tabla5[[#This Row], [cantidad]],"&lt;0")*-1,0)</f>
        <v/>
      </c>
      <c r="R25" s="16">
        <f>IF(Tabla5[[#This Row], [¿devolución?]]=1,SUMIF(Tabla5[[#This Row], [cantidad]],"&gt;0"),0)</f>
        <v/>
      </c>
      <c r="S25" s="16">
        <f>SUMIFS(Tabla5[[#This Row], [cantidad]],Tabla5[[#This Row], [cantidad]],"&lt;0",Tabla5[[#This Row], [¿devolución?]],"",Tabla5[[#This Row], [¿perdida anormal?]],"")</f>
        <v/>
      </c>
      <c r="T25" s="16">
        <f>SUMIFS(Tabla5[[#This Row], [cantidad]],Tabla5[[#This Row], [cantidad]],"&gt;0",Tabla5[[#This Row], [¿devolución?]],"",Tabla5[[#This Row], [¿perdida anormal?]],"")</f>
        <v/>
      </c>
      <c r="U25" s="16">
        <f>IFERROR(Tabla5[[#This Row], [CANT VENDIDA]]*Tabla5[[#This Row], [Costo unitario]],0)</f>
        <v/>
      </c>
      <c r="V25" s="13">
        <f>IFERROR(Tabla5[[#This Row], [CANT ADQUIRIDA]]*Tabla5[[#This Row], [Costo unitario]],0)</f>
        <v/>
      </c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>
        <f>TEXT(Tabla5[[#This Row], [Fecha]],"MMMM") &amp; TEXT(Tabla5[[#This Row], [Fecha]],"yy")</f>
        <v/>
      </c>
      <c r="I26" s="16" t="n">
        <v>1</v>
      </c>
      <c r="J26" s="28" t="n"/>
      <c r="K26" s="28" t="n"/>
      <c r="L26" s="28" t="n"/>
      <c r="M26" s="28" t="n"/>
      <c r="N26" s="16" t="n"/>
      <c r="O26" s="16">
        <f>IF(Tabla5[[#This Row], [¿perdida anormal?]]=1,SUMIF(Tabla5[[#This Row], [cantidad]],"&gt;0"),0)</f>
        <v/>
      </c>
      <c r="P26" s="16">
        <f>IF(Tabla5[[#This Row], [¿perdida anormal?]]=1,SUMIF(Tabla5[[#This Row], [cantidad]],"&lt;0")*-1,0)</f>
        <v/>
      </c>
      <c r="Q26" s="16">
        <f>IF(Tabla5[[#This Row], [¿devolución?]]=1,SUMIF(Tabla5[[#This Row], [cantidad]],"&lt;0")*-1,0)</f>
        <v/>
      </c>
      <c r="R26" s="16">
        <f>IF(Tabla5[[#This Row], [¿devolución?]]=1,SUMIF(Tabla5[[#This Row], [cantidad]],"&gt;0"),0)</f>
        <v/>
      </c>
      <c r="S26" s="16">
        <f>SUMIFS(Tabla5[[#This Row], [cantidad]],Tabla5[[#This Row], [cantidad]],"&lt;0",Tabla5[[#This Row], [¿devolución?]],"",Tabla5[[#This Row], [¿perdida anormal?]],"")</f>
        <v/>
      </c>
      <c r="T26" s="16">
        <f>SUMIFS(Tabla5[[#This Row], [cantidad]],Tabla5[[#This Row], [cantidad]],"&gt;0",Tabla5[[#This Row], [¿devolución?]],"",Tabla5[[#This Row], [¿perdida anormal?]],"")</f>
        <v/>
      </c>
      <c r="U26" s="16">
        <f>IFERROR(Tabla5[[#This Row], [CANT VENDIDA]]*Tabla5[[#This Row], [Costo unitario]],0)</f>
        <v/>
      </c>
      <c r="V26" s="13">
        <f>IFERROR(Tabla5[[#This Row], [CANT ADQUIRIDA]]*Tabla5[[#This Row], [Costo unitario]],0)</f>
        <v/>
      </c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>
        <f>TEXT(Tabla5[[#This Row], [Fecha]],"MMMM") &amp; TEXT(Tabla5[[#This Row], [Fecha]],"yy")</f>
        <v/>
      </c>
      <c r="I27" s="16" t="n">
        <v>2</v>
      </c>
      <c r="J27" s="28" t="n"/>
      <c r="K27" s="28" t="n"/>
      <c r="L27" s="28" t="n"/>
      <c r="M27" s="28" t="n"/>
      <c r="N27" s="16" t="n"/>
      <c r="O27" s="16">
        <f>IF(Tabla5[[#This Row], [¿perdida anormal?]]=1,SUMIF(Tabla5[[#This Row], [cantidad]],"&gt;0"),0)</f>
        <v/>
      </c>
      <c r="P27" s="16">
        <f>IF(Tabla5[[#This Row], [¿perdida anormal?]]=1,SUMIF(Tabla5[[#This Row], [cantidad]],"&lt;0")*-1,0)</f>
        <v/>
      </c>
      <c r="Q27" s="16">
        <f>IF(Tabla5[[#This Row], [¿devolución?]]=1,SUMIF(Tabla5[[#This Row], [cantidad]],"&lt;0")*-1,0)</f>
        <v/>
      </c>
      <c r="R27" s="16">
        <f>IF(Tabla5[[#This Row], [¿devolución?]]=1,SUMIF(Tabla5[[#This Row], [cantidad]],"&gt;0"),0)</f>
        <v/>
      </c>
      <c r="S27" s="16">
        <f>SUMIFS(Tabla5[[#This Row], [cantidad]],Tabla5[[#This Row], [cantidad]],"&lt;0",Tabla5[[#This Row], [¿devolución?]],"",Tabla5[[#This Row], [¿perdida anormal?]],"")</f>
        <v/>
      </c>
      <c r="T27" s="16">
        <f>SUMIFS(Tabla5[[#This Row], [cantidad]],Tabla5[[#This Row], [cantidad]],"&gt;0",Tabla5[[#This Row], [¿devolución?]],"",Tabla5[[#This Row], [¿perdida anormal?]],"")</f>
        <v/>
      </c>
      <c r="U27" s="16">
        <f>IFERROR(Tabla5[[#This Row], [CANT VENDIDA]]*Tabla5[[#This Row], [Costo unitario]],0)</f>
        <v/>
      </c>
      <c r="V27" s="13">
        <f>IFERROR(Tabla5[[#This Row], [CANT ADQUIRIDA]]*Tabla5[[#This Row], [Costo unitario]],0)</f>
        <v/>
      </c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>
        <f>TEXT(Tabla5[[#This Row], [Fecha]],"MMMM") &amp; TEXT(Tabla5[[#This Row], [Fecha]],"yy")</f>
        <v/>
      </c>
      <c r="I28" s="16" t="n">
        <v>1</v>
      </c>
      <c r="J28" s="28" t="n"/>
      <c r="K28" s="28" t="n"/>
      <c r="L28" s="28" t="n"/>
      <c r="M28" s="28" t="n"/>
      <c r="N28" s="16" t="n"/>
      <c r="O28" s="16">
        <f>IF(Tabla5[[#This Row], [¿perdida anormal?]]=1,SUMIF(Tabla5[[#This Row], [cantidad]],"&gt;0"),0)</f>
        <v/>
      </c>
      <c r="P28" s="16">
        <f>IF(Tabla5[[#This Row], [¿perdida anormal?]]=1,SUMIF(Tabla5[[#This Row], [cantidad]],"&lt;0")*-1,0)</f>
        <v/>
      </c>
      <c r="Q28" s="16">
        <f>IF(Tabla5[[#This Row], [¿devolución?]]=1,SUMIF(Tabla5[[#This Row], [cantidad]],"&lt;0")*-1,0)</f>
        <v/>
      </c>
      <c r="R28" s="16">
        <f>IF(Tabla5[[#This Row], [¿devolución?]]=1,SUMIF(Tabla5[[#This Row], [cantidad]],"&gt;0"),0)</f>
        <v/>
      </c>
      <c r="S28" s="16">
        <f>SUMIFS(Tabla5[[#This Row], [cantidad]],Tabla5[[#This Row], [cantidad]],"&lt;0",Tabla5[[#This Row], [¿devolución?]],"",Tabla5[[#This Row], [¿perdida anormal?]],"")</f>
        <v/>
      </c>
      <c r="T28" s="16">
        <f>SUMIFS(Tabla5[[#This Row], [cantidad]],Tabla5[[#This Row], [cantidad]],"&gt;0",Tabla5[[#This Row], [¿devolución?]],"",Tabla5[[#This Row], [¿perdida anormal?]],"")</f>
        <v/>
      </c>
      <c r="U28" s="16">
        <f>IFERROR(Tabla5[[#This Row], [CANT VENDIDA]]*Tabla5[[#This Row], [Costo unitario]],0)</f>
        <v/>
      </c>
      <c r="V28" s="13">
        <f>IFERROR(Tabla5[[#This Row], [CANT ADQUIRIDA]]*Tabla5[[#This Row], [Costo unitario]],0)</f>
        <v/>
      </c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>
        <f>TEXT(Tabla5[[#This Row], [Fecha]],"MMMM") &amp; TEXT(Tabla5[[#This Row], [Fecha]],"yy")</f>
        <v/>
      </c>
      <c r="I29" s="16" t="n">
        <v>3</v>
      </c>
      <c r="J29" s="28" t="n"/>
      <c r="K29" s="28" t="n"/>
      <c r="L29" s="28" t="n"/>
      <c r="M29" s="28" t="n"/>
      <c r="N29" s="16" t="n"/>
      <c r="O29" s="16">
        <f>IF(Tabla5[[#This Row], [¿perdida anormal?]]=1,SUMIF(Tabla5[[#This Row], [cantidad]],"&gt;0"),0)</f>
        <v/>
      </c>
      <c r="P29" s="16">
        <f>IF(Tabla5[[#This Row], [¿perdida anormal?]]=1,SUMIF(Tabla5[[#This Row], [cantidad]],"&lt;0")*-1,0)</f>
        <v/>
      </c>
      <c r="Q29" s="16">
        <f>IF(Tabla5[[#This Row], [¿devolución?]]=1,SUMIF(Tabla5[[#This Row], [cantidad]],"&lt;0")*-1,0)</f>
        <v/>
      </c>
      <c r="R29" s="16">
        <f>IF(Tabla5[[#This Row], [¿devolución?]]=1,SUMIF(Tabla5[[#This Row], [cantidad]],"&gt;0"),0)</f>
        <v/>
      </c>
      <c r="S29" s="16">
        <f>SUMIFS(Tabla5[[#This Row], [cantidad]],Tabla5[[#This Row], [cantidad]],"&lt;0",Tabla5[[#This Row], [¿devolución?]],"",Tabla5[[#This Row], [¿perdida anormal?]],"")</f>
        <v/>
      </c>
      <c r="T29" s="16">
        <f>SUMIFS(Tabla5[[#This Row], [cantidad]],Tabla5[[#This Row], [cantidad]],"&gt;0",Tabla5[[#This Row], [¿devolución?]],"",Tabla5[[#This Row], [¿perdida anormal?]],"")</f>
        <v/>
      </c>
      <c r="U29" s="16">
        <f>IFERROR(Tabla5[[#This Row], [CANT VENDIDA]]*Tabla5[[#This Row], [Costo unitario]],0)</f>
        <v/>
      </c>
      <c r="V29" s="13">
        <f>IFERROR(Tabla5[[#This Row], [CANT ADQUIRIDA]]*Tabla5[[#This Row], [Costo unitario]],0)</f>
        <v/>
      </c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>
        <f>TEXT(Tabla5[[#This Row], [Fecha]],"MMMM") &amp; TEXT(Tabla5[[#This Row], [Fecha]],"yy")</f>
        <v/>
      </c>
      <c r="I30" s="16" t="n">
        <v>6</v>
      </c>
      <c r="J30" s="28" t="n"/>
      <c r="K30" s="28" t="n"/>
      <c r="L30" s="28" t="n"/>
      <c r="M30" s="28" t="n"/>
      <c r="N30" s="16" t="n"/>
      <c r="O30" s="16">
        <f>IF(Tabla5[[#This Row], [¿perdida anormal?]]=1,SUMIF(Tabla5[[#This Row], [cantidad]],"&gt;0"),0)</f>
        <v/>
      </c>
      <c r="P30" s="16">
        <f>IF(Tabla5[[#This Row], [¿perdida anormal?]]=1,SUMIF(Tabla5[[#This Row], [cantidad]],"&lt;0")*-1,0)</f>
        <v/>
      </c>
      <c r="Q30" s="16">
        <f>IF(Tabla5[[#This Row], [¿devolución?]]=1,SUMIF(Tabla5[[#This Row], [cantidad]],"&lt;0")*-1,0)</f>
        <v/>
      </c>
      <c r="R30" s="16">
        <f>IF(Tabla5[[#This Row], [¿devolución?]]=1,SUMIF(Tabla5[[#This Row], [cantidad]],"&gt;0"),0)</f>
        <v/>
      </c>
      <c r="S30" s="16">
        <f>SUMIFS(Tabla5[[#This Row], [cantidad]],Tabla5[[#This Row], [cantidad]],"&lt;0",Tabla5[[#This Row], [¿devolución?]],"",Tabla5[[#This Row], [¿perdida anormal?]],"")</f>
        <v/>
      </c>
      <c r="T30" s="16">
        <f>SUMIFS(Tabla5[[#This Row], [cantidad]],Tabla5[[#This Row], [cantidad]],"&gt;0",Tabla5[[#This Row], [¿devolución?]],"",Tabla5[[#This Row], [¿perdida anormal?]],"")</f>
        <v/>
      </c>
      <c r="U30" s="16">
        <f>IFERROR(Tabla5[[#This Row], [CANT VENDIDA]]*Tabla5[[#This Row], [Costo unitario]],0)</f>
        <v/>
      </c>
      <c r="V30" s="13">
        <f>IFERROR(Tabla5[[#This Row], [CANT ADQUIRIDA]]*Tabla5[[#This Row], [Costo unitario]],0)</f>
        <v/>
      </c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>
        <f>TEXT(Tabla5[[#This Row], [Fecha]],"MMMM") &amp; TEXT(Tabla5[[#This Row], [Fecha]],"yy")</f>
        <v/>
      </c>
      <c r="I31" s="16" t="n">
        <v>1</v>
      </c>
      <c r="J31" s="28" t="n"/>
      <c r="K31" s="28" t="n"/>
      <c r="L31" s="28" t="n"/>
      <c r="M31" s="28" t="n"/>
      <c r="N31" s="16" t="n"/>
      <c r="O31" s="16">
        <f>IF(Tabla5[[#This Row], [¿perdida anormal?]]=1,SUMIF(Tabla5[[#This Row], [cantidad]],"&gt;0"),0)</f>
        <v/>
      </c>
      <c r="P31" s="16">
        <f>IF(Tabla5[[#This Row], [¿perdida anormal?]]=1,SUMIF(Tabla5[[#This Row], [cantidad]],"&lt;0")*-1,0)</f>
        <v/>
      </c>
      <c r="Q31" s="16">
        <f>IF(Tabla5[[#This Row], [¿devolución?]]=1,SUMIF(Tabla5[[#This Row], [cantidad]],"&lt;0")*-1,0)</f>
        <v/>
      </c>
      <c r="R31" s="16">
        <f>IF(Tabla5[[#This Row], [¿devolución?]]=1,SUMIF(Tabla5[[#This Row], [cantidad]],"&gt;0"),0)</f>
        <v/>
      </c>
      <c r="S31" s="16">
        <f>SUMIFS(Tabla5[[#This Row], [cantidad]],Tabla5[[#This Row], [cantidad]],"&lt;0",Tabla5[[#This Row], [¿devolución?]],"",Tabla5[[#This Row], [¿perdida anormal?]],"")</f>
        <v/>
      </c>
      <c r="T31" s="16">
        <f>SUMIFS(Tabla5[[#This Row], [cantidad]],Tabla5[[#This Row], [cantidad]],"&gt;0",Tabla5[[#This Row], [¿devolución?]],"",Tabla5[[#This Row], [¿perdida anormal?]],"")</f>
        <v/>
      </c>
      <c r="U31" s="16">
        <f>IFERROR(Tabla5[[#This Row], [CANT VENDIDA]]*Tabla5[[#This Row], [Costo unitario]],0)</f>
        <v/>
      </c>
      <c r="V31" s="13">
        <f>IFERROR(Tabla5[[#This Row], [CANT ADQUIRIDA]]*Tabla5[[#This Row], [Costo unitario]],0)</f>
        <v/>
      </c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>
        <f>TEXT(Tabla5[[#This Row], [Fecha]],"MMMM") &amp; TEXT(Tabla5[[#This Row], [Fecha]],"yy")</f>
        <v/>
      </c>
      <c r="I32" s="16" t="n">
        <v>2</v>
      </c>
      <c r="J32" s="28" t="n"/>
      <c r="K32" s="28" t="n"/>
      <c r="L32" s="28" t="n"/>
      <c r="M32" s="28" t="n"/>
      <c r="N32" s="16" t="n"/>
      <c r="O32" s="16">
        <f>IF(Tabla5[[#This Row], [¿perdida anormal?]]=1,SUMIF(Tabla5[[#This Row], [cantidad]],"&gt;0"),0)</f>
        <v/>
      </c>
      <c r="P32" s="16">
        <f>IF(Tabla5[[#This Row], [¿perdida anormal?]]=1,SUMIF(Tabla5[[#This Row], [cantidad]],"&lt;0")*-1,0)</f>
        <v/>
      </c>
      <c r="Q32" s="16">
        <f>IF(Tabla5[[#This Row], [¿devolución?]]=1,SUMIF(Tabla5[[#This Row], [cantidad]],"&lt;0")*-1,0)</f>
        <v/>
      </c>
      <c r="R32" s="16">
        <f>IF(Tabla5[[#This Row], [¿devolución?]]=1,SUMIF(Tabla5[[#This Row], [cantidad]],"&gt;0"),0)</f>
        <v/>
      </c>
      <c r="S32" s="16">
        <f>SUMIFS(Tabla5[[#This Row], [cantidad]],Tabla5[[#This Row], [cantidad]],"&lt;0",Tabla5[[#This Row], [¿devolución?]],"",Tabla5[[#This Row], [¿perdida anormal?]],"")</f>
        <v/>
      </c>
      <c r="T32" s="16">
        <f>SUMIFS(Tabla5[[#This Row], [cantidad]],Tabla5[[#This Row], [cantidad]],"&gt;0",Tabla5[[#This Row], [¿devolución?]],"",Tabla5[[#This Row], [¿perdida anormal?]],"")</f>
        <v/>
      </c>
      <c r="U32" s="16">
        <f>IFERROR(Tabla5[[#This Row], [CANT VENDIDA]]*Tabla5[[#This Row], [Costo unitario]],0)</f>
        <v/>
      </c>
      <c r="V32" s="13">
        <f>IFERROR(Tabla5[[#This Row], [CANT ADQUIRIDA]]*Tabla5[[#This Row], [Costo unitario]],0)</f>
        <v/>
      </c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>
        <f>TEXT(Tabla5[[#This Row], [Fecha]],"MMMM") &amp; TEXT(Tabla5[[#This Row], [Fecha]],"yy")</f>
        <v/>
      </c>
      <c r="I33" s="16" t="n">
        <v>1</v>
      </c>
      <c r="J33" s="28" t="n"/>
      <c r="K33" s="28" t="n"/>
      <c r="L33" s="28" t="n"/>
      <c r="M33" s="28" t="n"/>
      <c r="N33" s="16" t="n"/>
      <c r="O33" s="16">
        <f>IF(Tabla5[[#This Row], [¿perdida anormal?]]=1,SUMIF(Tabla5[[#This Row], [cantidad]],"&gt;0"),0)</f>
        <v/>
      </c>
      <c r="P33" s="16">
        <f>IF(Tabla5[[#This Row], [¿perdida anormal?]]=1,SUMIF(Tabla5[[#This Row], [cantidad]],"&lt;0")*-1,0)</f>
        <v/>
      </c>
      <c r="Q33" s="16">
        <f>IF(Tabla5[[#This Row], [¿devolución?]]=1,SUMIF(Tabla5[[#This Row], [cantidad]],"&lt;0")*-1,0)</f>
        <v/>
      </c>
      <c r="R33" s="16">
        <f>IF(Tabla5[[#This Row], [¿devolución?]]=1,SUMIF(Tabla5[[#This Row], [cantidad]],"&gt;0"),0)</f>
        <v/>
      </c>
      <c r="S33" s="16">
        <f>SUMIFS(Tabla5[[#This Row], [cantidad]],Tabla5[[#This Row], [cantidad]],"&lt;0",Tabla5[[#This Row], [¿devolución?]],"",Tabla5[[#This Row], [¿perdida anormal?]],"")</f>
        <v/>
      </c>
      <c r="T33" s="16">
        <f>SUMIFS(Tabla5[[#This Row], [cantidad]],Tabla5[[#This Row], [cantidad]],"&gt;0",Tabla5[[#This Row], [¿devolución?]],"",Tabla5[[#This Row], [¿perdida anormal?]],"")</f>
        <v/>
      </c>
      <c r="U33" s="16">
        <f>IFERROR(Tabla5[[#This Row], [CANT VENDIDA]]*Tabla5[[#This Row], [Costo unitario]],0)</f>
        <v/>
      </c>
      <c r="V33" s="13">
        <f>IFERROR(Tabla5[[#This Row], [CANT ADQUIRIDA]]*Tabla5[[#This Row], [Costo unitario]],0)</f>
        <v/>
      </c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>
        <f>TEXT(Tabla5[[#This Row], [Fecha]],"MMMM") &amp; TEXT(Tabla5[[#This Row], [Fecha]],"yy")</f>
        <v/>
      </c>
      <c r="I34" s="16" t="n">
        <v>1</v>
      </c>
      <c r="J34" s="28" t="n"/>
      <c r="K34" s="28" t="n"/>
      <c r="L34" s="28" t="n"/>
      <c r="M34" s="28" t="n"/>
      <c r="N34" s="16" t="n"/>
      <c r="O34" s="16">
        <f>IF(Tabla5[[#This Row], [¿perdida anormal?]]=1,SUMIF(Tabla5[[#This Row], [cantidad]],"&gt;0"),0)</f>
        <v/>
      </c>
      <c r="P34" s="16">
        <f>IF(Tabla5[[#This Row], [¿perdida anormal?]]=1,SUMIF(Tabla5[[#This Row], [cantidad]],"&lt;0")*-1,0)</f>
        <v/>
      </c>
      <c r="Q34" s="16">
        <f>IF(Tabla5[[#This Row], [¿devolución?]]=1,SUMIF(Tabla5[[#This Row], [cantidad]],"&lt;0")*-1,0)</f>
        <v/>
      </c>
      <c r="R34" s="16">
        <f>IF(Tabla5[[#This Row], [¿devolución?]]=1,SUMIF(Tabla5[[#This Row], [cantidad]],"&gt;0"),0)</f>
        <v/>
      </c>
      <c r="S34" s="16">
        <f>SUMIFS(Tabla5[[#This Row], [cantidad]],Tabla5[[#This Row], [cantidad]],"&lt;0",Tabla5[[#This Row], [¿devolución?]],"",Tabla5[[#This Row], [¿perdida anormal?]],"")</f>
        <v/>
      </c>
      <c r="T34" s="16">
        <f>SUMIFS(Tabla5[[#This Row], [cantidad]],Tabla5[[#This Row], [cantidad]],"&gt;0",Tabla5[[#This Row], [¿devolución?]],"",Tabla5[[#This Row], [¿perdida anormal?]],"")</f>
        <v/>
      </c>
      <c r="U34" s="16">
        <f>IFERROR(Tabla5[[#This Row], [CANT VENDIDA]]*Tabla5[[#This Row], [Costo unitario]],0)</f>
        <v/>
      </c>
      <c r="V34" s="13">
        <f>IFERROR(Tabla5[[#This Row], [CANT ADQUIRIDA]]*Tabla5[[#This Row], [Costo unitario]],0)</f>
        <v/>
      </c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>
        <f>TEXT(Tabla5[[#This Row], [Fecha]],"MMMM") &amp; TEXT(Tabla5[[#This Row], [Fecha]],"yy")</f>
        <v/>
      </c>
      <c r="I35" s="16" t="n">
        <v>1</v>
      </c>
      <c r="J35" s="28" t="n"/>
      <c r="K35" s="28" t="n"/>
      <c r="L35" s="28" t="n"/>
      <c r="M35" s="28" t="n"/>
      <c r="N35" s="16" t="n"/>
      <c r="O35" s="16">
        <f>IF(Tabla5[[#This Row], [¿perdida anormal?]]=1,SUMIF(Tabla5[[#This Row], [cantidad]],"&gt;0"),0)</f>
        <v/>
      </c>
      <c r="P35" s="16">
        <f>IF(Tabla5[[#This Row], [¿perdida anormal?]]=1,SUMIF(Tabla5[[#This Row], [cantidad]],"&lt;0")*-1,0)</f>
        <v/>
      </c>
      <c r="Q35" s="16">
        <f>IF(Tabla5[[#This Row], [¿devolución?]]=1,SUMIF(Tabla5[[#This Row], [cantidad]],"&lt;0")*-1,0)</f>
        <v/>
      </c>
      <c r="R35" s="16">
        <f>IF(Tabla5[[#This Row], [¿devolución?]]=1,SUMIF(Tabla5[[#This Row], [cantidad]],"&gt;0"),0)</f>
        <v/>
      </c>
      <c r="S35" s="16">
        <f>SUMIFS(Tabla5[[#This Row], [cantidad]],Tabla5[[#This Row], [cantidad]],"&lt;0",Tabla5[[#This Row], [¿devolución?]],"",Tabla5[[#This Row], [¿perdida anormal?]],"")</f>
        <v/>
      </c>
      <c r="T35" s="16">
        <f>SUMIFS(Tabla5[[#This Row], [cantidad]],Tabla5[[#This Row], [cantidad]],"&gt;0",Tabla5[[#This Row], [¿devolución?]],"",Tabla5[[#This Row], [¿perdida anormal?]],"")</f>
        <v/>
      </c>
      <c r="U35" s="16">
        <f>IFERROR(Tabla5[[#This Row], [CANT VENDIDA]]*Tabla5[[#This Row], [Costo unitario]],0)</f>
        <v/>
      </c>
      <c r="V35" s="13">
        <f>IFERROR(Tabla5[[#This Row], [CANT ADQUIRIDA]]*Tabla5[[#This Row], [Costo unitario]],0)</f>
        <v/>
      </c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>
        <f>TEXT(Tabla5[[#This Row], [Fecha]],"MMMM") &amp; TEXT(Tabla5[[#This Row], [Fecha]],"yy")</f>
        <v/>
      </c>
      <c r="I36" s="16" t="n">
        <v>1</v>
      </c>
      <c r="J36" s="28" t="n"/>
      <c r="K36" s="28" t="n"/>
      <c r="L36" s="28" t="n"/>
      <c r="M36" s="28" t="n"/>
      <c r="N36" s="16" t="n"/>
      <c r="O36" s="16">
        <f>IF(Tabla5[[#This Row], [¿perdida anormal?]]=1,SUMIF(Tabla5[[#This Row], [cantidad]],"&gt;0"),0)</f>
        <v/>
      </c>
      <c r="P36" s="16">
        <f>IF(Tabla5[[#This Row], [¿perdida anormal?]]=1,SUMIF(Tabla5[[#This Row], [cantidad]],"&lt;0")*-1,0)</f>
        <v/>
      </c>
      <c r="Q36" s="16">
        <f>IF(Tabla5[[#This Row], [¿devolución?]]=1,SUMIF(Tabla5[[#This Row], [cantidad]],"&lt;0")*-1,0)</f>
        <v/>
      </c>
      <c r="R36" s="16">
        <f>IF(Tabla5[[#This Row], [¿devolución?]]=1,SUMIF(Tabla5[[#This Row], [cantidad]],"&gt;0"),0)</f>
        <v/>
      </c>
      <c r="S36" s="16">
        <f>SUMIFS(Tabla5[[#This Row], [cantidad]],Tabla5[[#This Row], [cantidad]],"&lt;0",Tabla5[[#This Row], [¿devolución?]],"",Tabla5[[#This Row], [¿perdida anormal?]],"")</f>
        <v/>
      </c>
      <c r="T36" s="16">
        <f>SUMIFS(Tabla5[[#This Row], [cantidad]],Tabla5[[#This Row], [cantidad]],"&gt;0",Tabla5[[#This Row], [¿devolución?]],"",Tabla5[[#This Row], [¿perdida anormal?]],"")</f>
        <v/>
      </c>
      <c r="U36" s="16">
        <f>IFERROR(Tabla5[[#This Row], [CANT VENDIDA]]*Tabla5[[#This Row], [Costo unitario]],0)</f>
        <v/>
      </c>
      <c r="V36" s="13">
        <f>IFERROR(Tabla5[[#This Row], [CANT ADQUIRIDA]]*Tabla5[[#This Row], [Costo unitario]],0)</f>
        <v/>
      </c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>
        <f>TEXT(Tabla5[[#This Row], [Fecha]],"MMMM") &amp; TEXT(Tabla5[[#This Row], [Fecha]],"yy")</f>
        <v/>
      </c>
      <c r="I37" s="16" t="n">
        <v>2</v>
      </c>
      <c r="J37" s="28" t="n"/>
      <c r="K37" s="28" t="n"/>
      <c r="L37" s="28" t="n"/>
      <c r="M37" s="28" t="n"/>
      <c r="N37" s="16" t="n"/>
      <c r="O37" s="16">
        <f>IF(Tabla5[[#This Row], [¿perdida anormal?]]=1,SUMIF(Tabla5[[#This Row], [cantidad]],"&gt;0"),0)</f>
        <v/>
      </c>
      <c r="P37" s="16">
        <f>IF(Tabla5[[#This Row], [¿perdida anormal?]]=1,SUMIF(Tabla5[[#This Row], [cantidad]],"&lt;0")*-1,0)</f>
        <v/>
      </c>
      <c r="Q37" s="16">
        <f>IF(Tabla5[[#This Row], [¿devolución?]]=1,SUMIF(Tabla5[[#This Row], [cantidad]],"&lt;0")*-1,0)</f>
        <v/>
      </c>
      <c r="R37" s="16">
        <f>IF(Tabla5[[#This Row], [¿devolución?]]=1,SUMIF(Tabla5[[#This Row], [cantidad]],"&gt;0"),0)</f>
        <v/>
      </c>
      <c r="S37" s="16">
        <f>SUMIFS(Tabla5[[#This Row], [cantidad]],Tabla5[[#This Row], [cantidad]],"&lt;0",Tabla5[[#This Row], [¿devolución?]],"",Tabla5[[#This Row], [¿perdida anormal?]],"")</f>
        <v/>
      </c>
      <c r="T37" s="16">
        <f>SUMIFS(Tabla5[[#This Row], [cantidad]],Tabla5[[#This Row], [cantidad]],"&gt;0",Tabla5[[#This Row], [¿devolución?]],"",Tabla5[[#This Row], [¿perdida anormal?]],"")</f>
        <v/>
      </c>
      <c r="U37" s="16">
        <f>IFERROR(Tabla5[[#This Row], [CANT VENDIDA]]*Tabla5[[#This Row], [Costo unitario]],0)</f>
        <v/>
      </c>
      <c r="V37" s="13">
        <f>IFERROR(Tabla5[[#This Row], [CANT ADQUIRIDA]]*Tabla5[[#This Row], [Costo unitario]],0)</f>
        <v/>
      </c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>
        <f>TEXT(Tabla5[[#This Row], [Fecha]],"MMMM") &amp; TEXT(Tabla5[[#This Row], [Fecha]],"yy")</f>
        <v/>
      </c>
      <c r="I38" s="16" t="n">
        <v>2</v>
      </c>
      <c r="J38" s="28" t="n"/>
      <c r="K38" s="28" t="n"/>
      <c r="L38" s="28" t="n"/>
      <c r="M38" s="28" t="n"/>
      <c r="N38" s="16" t="n"/>
      <c r="O38" s="16">
        <f>IF(Tabla5[[#This Row], [¿perdida anormal?]]=1,SUMIF(Tabla5[[#This Row], [cantidad]],"&gt;0"),0)</f>
        <v/>
      </c>
      <c r="P38" s="16">
        <f>IF(Tabla5[[#This Row], [¿perdida anormal?]]=1,SUMIF(Tabla5[[#This Row], [cantidad]],"&lt;0")*-1,0)</f>
        <v/>
      </c>
      <c r="Q38" s="16">
        <f>IF(Tabla5[[#This Row], [¿devolución?]]=1,SUMIF(Tabla5[[#This Row], [cantidad]],"&lt;0")*-1,0)</f>
        <v/>
      </c>
      <c r="R38" s="16">
        <f>IF(Tabla5[[#This Row], [¿devolución?]]=1,SUMIF(Tabla5[[#This Row], [cantidad]],"&gt;0"),0)</f>
        <v/>
      </c>
      <c r="S38" s="16">
        <f>SUMIFS(Tabla5[[#This Row], [cantidad]],Tabla5[[#This Row], [cantidad]],"&lt;0",Tabla5[[#This Row], [¿devolución?]],"",Tabla5[[#This Row], [¿perdida anormal?]],"")</f>
        <v/>
      </c>
      <c r="T38" s="16">
        <f>SUMIFS(Tabla5[[#This Row], [cantidad]],Tabla5[[#This Row], [cantidad]],"&gt;0",Tabla5[[#This Row], [¿devolución?]],"",Tabla5[[#This Row], [¿perdida anormal?]],"")</f>
        <v/>
      </c>
      <c r="U38" s="16">
        <f>IFERROR(Tabla5[[#This Row], [CANT VENDIDA]]*Tabla5[[#This Row], [Costo unitario]],0)</f>
        <v/>
      </c>
      <c r="V38" s="13">
        <f>IFERROR(Tabla5[[#This Row], [CANT ADQUIRIDA]]*Tabla5[[#This Row], [Costo unitario]],0)</f>
        <v/>
      </c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2024-02-16T18:12:57Z</dcterms:modified>
</cp:coreProperties>
</file>